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universityofyorkits-my.sharepoint.com/personal/ee728_york_ac_uk/Documents/Documents/Long term adaptation expt/Data/Expt 1 and 2 Raw data/"/>
    </mc:Choice>
  </mc:AlternateContent>
  <xr:revisionPtr revIDLastSave="25" documentId="13_ncr:1_{A95404B0-5036-4E5E-86AC-26A94565D2CE}" xr6:coauthVersionLast="47" xr6:coauthVersionMax="47" xr10:uidLastSave="{F6D5F482-F0DA-4E87-80F2-7DE8EBFB617F}"/>
  <bookViews>
    <workbookView xWindow="-108" yWindow="-108" windowWidth="23256" windowHeight="12576" xr2:uid="{00000000-000D-0000-FFFF-FFFF00000000}"/>
  </bookViews>
  <sheets>
    <sheet name="Lookup all" sheetId="10" r:id="rId1"/>
    <sheet name="Test arm 1" sheetId="1" r:id="rId2"/>
    <sheet name="Test Arm 1.1" sheetId="8" r:id="rId3"/>
    <sheet name="Lookup Arm 1" sheetId="6" r:id="rId4"/>
    <sheet name="Test arm 2" sheetId="2" r:id="rId5"/>
    <sheet name="Test arm 2.2" sheetId="9" r:id="rId6"/>
    <sheet name="Lookup Arm2" sheetId="7" r:id="rId7"/>
    <sheet name="Green arm" sheetId="3" r:id="rId8"/>
    <sheet name="Blue arm" sheetId="4" r:id="rId9"/>
    <sheet name="Red arm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M2" i="10" l="1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2" i="7"/>
  <c r="M14" i="10"/>
  <c r="M11" i="10"/>
  <c r="M8" i="10"/>
  <c r="M5" i="10"/>
  <c r="F42" i="6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2" i="4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" i="3"/>
  <c r="O28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" i="3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2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N2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2" i="4"/>
  <c r="K2" i="4"/>
  <c r="T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K48" i="5"/>
  <c r="K49" i="5"/>
  <c r="K50" i="5"/>
  <c r="K51" i="5"/>
  <c r="K52" i="5"/>
  <c r="K53" i="5"/>
  <c r="K54" i="5"/>
  <c r="K55" i="5"/>
  <c r="K56" i="5"/>
  <c r="K57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2" i="5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2" i="6"/>
  <c r="L8" i="3"/>
  <c r="L10" i="3"/>
  <c r="L16" i="3"/>
  <c r="L18" i="3"/>
  <c r="L24" i="3"/>
  <c r="L26" i="3"/>
  <c r="L32" i="3"/>
  <c r="L34" i="3"/>
  <c r="L40" i="3"/>
  <c r="L42" i="3"/>
  <c r="L48" i="3"/>
  <c r="L50" i="3"/>
  <c r="L56" i="3"/>
  <c r="L58" i="3"/>
  <c r="L64" i="3"/>
  <c r="L66" i="3"/>
  <c r="L72" i="3"/>
  <c r="L74" i="3"/>
  <c r="L80" i="3"/>
  <c r="L82" i="3"/>
  <c r="L88" i="3"/>
  <c r="L90" i="3"/>
  <c r="L96" i="3"/>
  <c r="L98" i="3"/>
  <c r="L104" i="3"/>
  <c r="L106" i="3"/>
  <c r="L112" i="3"/>
  <c r="L114" i="3"/>
  <c r="L120" i="3"/>
  <c r="L122" i="3"/>
  <c r="L128" i="3"/>
  <c r="L130" i="3"/>
  <c r="L136" i="3"/>
  <c r="L138" i="3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K3" i="3"/>
  <c r="L3" i="3" s="1"/>
  <c r="K4" i="3"/>
  <c r="L4" i="3" s="1"/>
  <c r="K5" i="3"/>
  <c r="L5" i="3" s="1"/>
  <c r="K6" i="3"/>
  <c r="L6" i="3" s="1"/>
  <c r="K7" i="3"/>
  <c r="L7" i="3" s="1"/>
  <c r="K8" i="3"/>
  <c r="K9" i="3"/>
  <c r="L9" i="3" s="1"/>
  <c r="K10" i="3"/>
  <c r="K11" i="3"/>
  <c r="L11" i="3" s="1"/>
  <c r="K12" i="3"/>
  <c r="L12" i="3" s="1"/>
  <c r="K13" i="3"/>
  <c r="L13" i="3" s="1"/>
  <c r="K14" i="3"/>
  <c r="L14" i="3" s="1"/>
  <c r="K15" i="3"/>
  <c r="L15" i="3" s="1"/>
  <c r="K16" i="3"/>
  <c r="K17" i="3"/>
  <c r="L17" i="3" s="1"/>
  <c r="K18" i="3"/>
  <c r="K19" i="3"/>
  <c r="L19" i="3" s="1"/>
  <c r="K20" i="3"/>
  <c r="L20" i="3" s="1"/>
  <c r="K21" i="3"/>
  <c r="L21" i="3" s="1"/>
  <c r="K22" i="3"/>
  <c r="L22" i="3" s="1"/>
  <c r="K23" i="3"/>
  <c r="L23" i="3" s="1"/>
  <c r="K24" i="3"/>
  <c r="K25" i="3"/>
  <c r="L25" i="3" s="1"/>
  <c r="K26" i="3"/>
  <c r="K27" i="3"/>
  <c r="L27" i="3" s="1"/>
  <c r="K28" i="3"/>
  <c r="L28" i="3" s="1"/>
  <c r="K29" i="3"/>
  <c r="L29" i="3" s="1"/>
  <c r="K30" i="3"/>
  <c r="L30" i="3" s="1"/>
  <c r="K31" i="3"/>
  <c r="L31" i="3" s="1"/>
  <c r="K32" i="3"/>
  <c r="K33" i="3"/>
  <c r="L33" i="3" s="1"/>
  <c r="K34" i="3"/>
  <c r="K35" i="3"/>
  <c r="L35" i="3" s="1"/>
  <c r="K36" i="3"/>
  <c r="L36" i="3" s="1"/>
  <c r="K37" i="3"/>
  <c r="L37" i="3" s="1"/>
  <c r="K38" i="3"/>
  <c r="L38" i="3" s="1"/>
  <c r="K39" i="3"/>
  <c r="L39" i="3" s="1"/>
  <c r="K40" i="3"/>
  <c r="K41" i="3"/>
  <c r="L41" i="3" s="1"/>
  <c r="K42" i="3"/>
  <c r="K43" i="3"/>
  <c r="L43" i="3" s="1"/>
  <c r="K44" i="3"/>
  <c r="L44" i="3" s="1"/>
  <c r="K45" i="3"/>
  <c r="L45" i="3" s="1"/>
  <c r="K46" i="3"/>
  <c r="L46" i="3" s="1"/>
  <c r="K47" i="3"/>
  <c r="L47" i="3" s="1"/>
  <c r="K48" i="3"/>
  <c r="K49" i="3"/>
  <c r="L49" i="3" s="1"/>
  <c r="K50" i="3"/>
  <c r="K51" i="3"/>
  <c r="L51" i="3" s="1"/>
  <c r="K52" i="3"/>
  <c r="L52" i="3" s="1"/>
  <c r="K53" i="3"/>
  <c r="L53" i="3" s="1"/>
  <c r="K54" i="3"/>
  <c r="L54" i="3" s="1"/>
  <c r="K55" i="3"/>
  <c r="L55" i="3" s="1"/>
  <c r="K56" i="3"/>
  <c r="K57" i="3"/>
  <c r="L57" i="3" s="1"/>
  <c r="K58" i="3"/>
  <c r="K59" i="3"/>
  <c r="L59" i="3" s="1"/>
  <c r="K60" i="3"/>
  <c r="L60" i="3" s="1"/>
  <c r="K61" i="3"/>
  <c r="L61" i="3" s="1"/>
  <c r="K62" i="3"/>
  <c r="L62" i="3" s="1"/>
  <c r="K63" i="3"/>
  <c r="L63" i="3" s="1"/>
  <c r="K64" i="3"/>
  <c r="K65" i="3"/>
  <c r="L65" i="3" s="1"/>
  <c r="K66" i="3"/>
  <c r="K67" i="3"/>
  <c r="L67" i="3" s="1"/>
  <c r="K68" i="3"/>
  <c r="L68" i="3" s="1"/>
  <c r="K69" i="3"/>
  <c r="L69" i="3" s="1"/>
  <c r="K70" i="3"/>
  <c r="L70" i="3" s="1"/>
  <c r="K71" i="3"/>
  <c r="L71" i="3" s="1"/>
  <c r="K72" i="3"/>
  <c r="K73" i="3"/>
  <c r="L73" i="3" s="1"/>
  <c r="K74" i="3"/>
  <c r="K75" i="3"/>
  <c r="L75" i="3" s="1"/>
  <c r="K76" i="3"/>
  <c r="L76" i="3" s="1"/>
  <c r="K77" i="3"/>
  <c r="L77" i="3" s="1"/>
  <c r="K78" i="3"/>
  <c r="L78" i="3" s="1"/>
  <c r="K79" i="3"/>
  <c r="L79" i="3" s="1"/>
  <c r="K80" i="3"/>
  <c r="K81" i="3"/>
  <c r="L81" i="3" s="1"/>
  <c r="K82" i="3"/>
  <c r="K83" i="3"/>
  <c r="L83" i="3" s="1"/>
  <c r="K84" i="3"/>
  <c r="L84" i="3" s="1"/>
  <c r="K85" i="3"/>
  <c r="L85" i="3" s="1"/>
  <c r="K86" i="3"/>
  <c r="L86" i="3" s="1"/>
  <c r="K87" i="3"/>
  <c r="L87" i="3" s="1"/>
  <c r="K88" i="3"/>
  <c r="K89" i="3"/>
  <c r="L89" i="3" s="1"/>
  <c r="K90" i="3"/>
  <c r="K91" i="3"/>
  <c r="L91" i="3" s="1"/>
  <c r="K92" i="3"/>
  <c r="L92" i="3" s="1"/>
  <c r="K93" i="3"/>
  <c r="L93" i="3" s="1"/>
  <c r="K94" i="3"/>
  <c r="L94" i="3" s="1"/>
  <c r="K95" i="3"/>
  <c r="L95" i="3" s="1"/>
  <c r="K96" i="3"/>
  <c r="K97" i="3"/>
  <c r="L97" i="3" s="1"/>
  <c r="K98" i="3"/>
  <c r="K99" i="3"/>
  <c r="L99" i="3" s="1"/>
  <c r="K100" i="3"/>
  <c r="L100" i="3" s="1"/>
  <c r="K101" i="3"/>
  <c r="L101" i="3" s="1"/>
  <c r="K102" i="3"/>
  <c r="L102" i="3" s="1"/>
  <c r="K103" i="3"/>
  <c r="L103" i="3" s="1"/>
  <c r="K104" i="3"/>
  <c r="K105" i="3"/>
  <c r="L105" i="3" s="1"/>
  <c r="K106" i="3"/>
  <c r="K107" i="3"/>
  <c r="L107" i="3" s="1"/>
  <c r="K108" i="3"/>
  <c r="L108" i="3" s="1"/>
  <c r="K109" i="3"/>
  <c r="L109" i="3" s="1"/>
  <c r="K110" i="3"/>
  <c r="L110" i="3" s="1"/>
  <c r="K111" i="3"/>
  <c r="L111" i="3" s="1"/>
  <c r="K112" i="3"/>
  <c r="K113" i="3"/>
  <c r="L113" i="3" s="1"/>
  <c r="K114" i="3"/>
  <c r="K115" i="3"/>
  <c r="L115" i="3" s="1"/>
  <c r="K116" i="3"/>
  <c r="L116" i="3" s="1"/>
  <c r="K117" i="3"/>
  <c r="L117" i="3" s="1"/>
  <c r="K118" i="3"/>
  <c r="L118" i="3" s="1"/>
  <c r="K119" i="3"/>
  <c r="L119" i="3" s="1"/>
  <c r="K120" i="3"/>
  <c r="K121" i="3"/>
  <c r="L121" i="3" s="1"/>
  <c r="K122" i="3"/>
  <c r="K123" i="3"/>
  <c r="L123" i="3" s="1"/>
  <c r="K124" i="3"/>
  <c r="L124" i="3" s="1"/>
  <c r="K125" i="3"/>
  <c r="L125" i="3" s="1"/>
  <c r="K126" i="3"/>
  <c r="L126" i="3" s="1"/>
  <c r="K127" i="3"/>
  <c r="L127" i="3" s="1"/>
  <c r="K128" i="3"/>
  <c r="K129" i="3"/>
  <c r="L129" i="3" s="1"/>
  <c r="K130" i="3"/>
  <c r="K131" i="3"/>
  <c r="L131" i="3" s="1"/>
  <c r="K132" i="3"/>
  <c r="L132" i="3" s="1"/>
  <c r="K133" i="3"/>
  <c r="L133" i="3" s="1"/>
  <c r="K134" i="3"/>
  <c r="L134" i="3" s="1"/>
  <c r="K135" i="3"/>
  <c r="L135" i="3" s="1"/>
  <c r="K136" i="3"/>
  <c r="K137" i="3"/>
  <c r="L137" i="3" s="1"/>
  <c r="K138" i="3"/>
  <c r="K139" i="3"/>
  <c r="L139" i="3" s="1"/>
  <c r="K140" i="3"/>
  <c r="L140" i="3" s="1"/>
  <c r="K141" i="3"/>
  <c r="L141" i="3" s="1"/>
  <c r="K142" i="3"/>
  <c r="L142" i="3" s="1"/>
  <c r="K2" i="3"/>
  <c r="L2" i="3" s="1"/>
  <c r="S43" i="6"/>
  <c r="T43" i="6"/>
  <c r="S44" i="6"/>
  <c r="T44" i="6"/>
  <c r="S45" i="6"/>
  <c r="T45" i="6"/>
  <c r="S46" i="6"/>
  <c r="T46" i="6"/>
  <c r="S47" i="6"/>
  <c r="T47" i="6"/>
  <c r="S48" i="6"/>
  <c r="T48" i="6"/>
  <c r="S49" i="6"/>
  <c r="T49" i="6"/>
  <c r="S50" i="6"/>
  <c r="T50" i="6"/>
  <c r="S51" i="6"/>
  <c r="T51" i="6"/>
  <c r="S52" i="6"/>
  <c r="T52" i="6"/>
  <c r="S53" i="6"/>
  <c r="T53" i="6"/>
  <c r="S54" i="6"/>
  <c r="T54" i="6"/>
  <c r="S55" i="6"/>
  <c r="T55" i="6"/>
  <c r="S56" i="6"/>
  <c r="T56" i="6"/>
  <c r="S57" i="6"/>
  <c r="T57" i="6"/>
  <c r="S58" i="6"/>
  <c r="T58" i="6"/>
  <c r="S59" i="6"/>
  <c r="T59" i="6"/>
  <c r="S60" i="6"/>
  <c r="T60" i="6"/>
  <c r="S61" i="6"/>
  <c r="T61" i="6"/>
  <c r="S62" i="6"/>
  <c r="T62" i="6"/>
  <c r="S63" i="6"/>
  <c r="T63" i="6"/>
  <c r="S64" i="6"/>
  <c r="T64" i="6"/>
  <c r="S65" i="6"/>
  <c r="T65" i="6"/>
  <c r="S66" i="6"/>
  <c r="T66" i="6"/>
  <c r="S67" i="6"/>
  <c r="T67" i="6"/>
  <c r="S68" i="6"/>
  <c r="T68" i="6"/>
  <c r="S69" i="6"/>
  <c r="T69" i="6"/>
  <c r="S70" i="6"/>
  <c r="T70" i="6"/>
  <c r="S71" i="6"/>
  <c r="T71" i="6"/>
  <c r="S72" i="6"/>
  <c r="T72" i="6"/>
  <c r="S73" i="6"/>
  <c r="T73" i="6"/>
  <c r="S74" i="6"/>
  <c r="T74" i="6"/>
  <c r="S75" i="6"/>
  <c r="T75" i="6"/>
  <c r="S76" i="6"/>
  <c r="T76" i="6"/>
  <c r="S77" i="6"/>
  <c r="T77" i="6"/>
  <c r="S78" i="6"/>
  <c r="T78" i="6"/>
  <c r="S79" i="6"/>
  <c r="T79" i="6"/>
  <c r="S80" i="6"/>
  <c r="T80" i="6"/>
  <c r="S81" i="6"/>
  <c r="T81" i="6"/>
  <c r="S82" i="6"/>
  <c r="T82" i="6"/>
  <c r="S83" i="6"/>
  <c r="T83" i="6"/>
  <c r="S84" i="6"/>
  <c r="T84" i="6"/>
  <c r="S85" i="6"/>
  <c r="T85" i="6"/>
  <c r="S86" i="6"/>
  <c r="T86" i="6"/>
  <c r="S87" i="6"/>
  <c r="T87" i="6"/>
  <c r="S88" i="6"/>
  <c r="T88" i="6"/>
  <c r="S89" i="6"/>
  <c r="T89" i="6"/>
  <c r="S90" i="6"/>
  <c r="T90" i="6"/>
  <c r="S91" i="6"/>
  <c r="T91" i="6"/>
  <c r="S92" i="6"/>
  <c r="T92" i="6"/>
  <c r="S93" i="6"/>
  <c r="T93" i="6"/>
  <c r="S94" i="6"/>
  <c r="T94" i="6"/>
  <c r="S95" i="6"/>
  <c r="T95" i="6"/>
  <c r="S96" i="6"/>
  <c r="T96" i="6"/>
  <c r="S97" i="6"/>
  <c r="T97" i="6"/>
  <c r="S98" i="6"/>
  <c r="T98" i="6"/>
  <c r="S99" i="6"/>
  <c r="T99" i="6"/>
  <c r="S100" i="6"/>
  <c r="T100" i="6"/>
  <c r="S101" i="6"/>
  <c r="T101" i="6"/>
  <c r="S102" i="6"/>
  <c r="T102" i="6"/>
  <c r="S103" i="6"/>
  <c r="T103" i="6"/>
  <c r="S104" i="6"/>
  <c r="T104" i="6"/>
  <c r="S105" i="6"/>
  <c r="T105" i="6"/>
  <c r="S106" i="6"/>
  <c r="T106" i="6"/>
  <c r="S107" i="6"/>
  <c r="T107" i="6"/>
  <c r="S108" i="6"/>
  <c r="T108" i="6"/>
  <c r="S109" i="6"/>
  <c r="T109" i="6"/>
  <c r="S110" i="6"/>
  <c r="T110" i="6"/>
  <c r="S111" i="6"/>
  <c r="T111" i="6"/>
  <c r="S112" i="6"/>
  <c r="T112" i="6"/>
  <c r="S113" i="6"/>
  <c r="T113" i="6"/>
  <c r="S114" i="6"/>
  <c r="T114" i="6"/>
  <c r="S115" i="6"/>
  <c r="T115" i="6"/>
  <c r="S116" i="6"/>
  <c r="T116" i="6"/>
  <c r="S117" i="6"/>
  <c r="T117" i="6"/>
  <c r="S118" i="6"/>
  <c r="T118" i="6"/>
  <c r="S119" i="6"/>
  <c r="T119" i="6"/>
  <c r="S120" i="6"/>
  <c r="T120" i="6"/>
  <c r="S42" i="6"/>
  <c r="T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42" i="6"/>
  <c r="O42" i="6" s="1"/>
  <c r="I43" i="6"/>
  <c r="I44" i="6"/>
  <c r="N44" i="6" s="1"/>
  <c r="I45" i="6"/>
  <c r="I46" i="6"/>
  <c r="N46" i="6" s="1"/>
  <c r="I47" i="6"/>
  <c r="I48" i="6"/>
  <c r="N48" i="6" s="1"/>
  <c r="I49" i="6"/>
  <c r="I50" i="6"/>
  <c r="I51" i="6"/>
  <c r="I52" i="6"/>
  <c r="N52" i="6" s="1"/>
  <c r="I53" i="6"/>
  <c r="I54" i="6"/>
  <c r="N54" i="6" s="1"/>
  <c r="I55" i="6"/>
  <c r="I56" i="6"/>
  <c r="J56" i="6" s="1"/>
  <c r="I57" i="6"/>
  <c r="I58" i="6"/>
  <c r="I59" i="6"/>
  <c r="I60" i="6"/>
  <c r="N60" i="6" s="1"/>
  <c r="I61" i="6"/>
  <c r="I62" i="6"/>
  <c r="N62" i="6" s="1"/>
  <c r="I63" i="6"/>
  <c r="I64" i="6"/>
  <c r="N64" i="6" s="1"/>
  <c r="I65" i="6"/>
  <c r="I66" i="6"/>
  <c r="I67" i="6"/>
  <c r="I68" i="6"/>
  <c r="N68" i="6" s="1"/>
  <c r="I69" i="6"/>
  <c r="I70" i="6"/>
  <c r="N70" i="6" s="1"/>
  <c r="I71" i="6"/>
  <c r="I72" i="6"/>
  <c r="N72" i="6" s="1"/>
  <c r="I73" i="6"/>
  <c r="I74" i="6"/>
  <c r="I75" i="6"/>
  <c r="I76" i="6"/>
  <c r="N76" i="6" s="1"/>
  <c r="I77" i="6"/>
  <c r="I78" i="6"/>
  <c r="N78" i="6" s="1"/>
  <c r="I79" i="6"/>
  <c r="I80" i="6"/>
  <c r="J80" i="6" s="1"/>
  <c r="I81" i="6"/>
  <c r="I82" i="6"/>
  <c r="I83" i="6"/>
  <c r="I84" i="6"/>
  <c r="N84" i="6" s="1"/>
  <c r="I85" i="6"/>
  <c r="I86" i="6"/>
  <c r="N86" i="6" s="1"/>
  <c r="I87" i="6"/>
  <c r="I88" i="6"/>
  <c r="N88" i="6" s="1"/>
  <c r="I89" i="6"/>
  <c r="I90" i="6"/>
  <c r="I91" i="6"/>
  <c r="I92" i="6"/>
  <c r="N92" i="6" s="1"/>
  <c r="I93" i="6"/>
  <c r="I94" i="6"/>
  <c r="N94" i="6" s="1"/>
  <c r="I95" i="6"/>
  <c r="I96" i="6"/>
  <c r="N96" i="6" s="1"/>
  <c r="I97" i="6"/>
  <c r="I98" i="6"/>
  <c r="I99" i="6"/>
  <c r="I100" i="6"/>
  <c r="N100" i="6" s="1"/>
  <c r="I101" i="6"/>
  <c r="I102" i="6"/>
  <c r="N102" i="6" s="1"/>
  <c r="I103" i="6"/>
  <c r="I104" i="6"/>
  <c r="N104" i="6" s="1"/>
  <c r="I105" i="6"/>
  <c r="I106" i="6"/>
  <c r="I107" i="6"/>
  <c r="I108" i="6"/>
  <c r="N108" i="6" s="1"/>
  <c r="I109" i="6"/>
  <c r="I110" i="6"/>
  <c r="N110" i="6" s="1"/>
  <c r="I111" i="6"/>
  <c r="I112" i="6"/>
  <c r="N112" i="6" s="1"/>
  <c r="I113" i="6"/>
  <c r="I114" i="6"/>
  <c r="I115" i="6"/>
  <c r="I116" i="6"/>
  <c r="N116" i="6" s="1"/>
  <c r="I117" i="6"/>
  <c r="I118" i="6"/>
  <c r="N118" i="6" s="1"/>
  <c r="I119" i="6"/>
  <c r="I120" i="6"/>
  <c r="N120" i="6" s="1"/>
  <c r="I121" i="6"/>
  <c r="I122" i="6"/>
  <c r="I123" i="6"/>
  <c r="I124" i="6"/>
  <c r="N124" i="6" s="1"/>
  <c r="I125" i="6"/>
  <c r="I126" i="6"/>
  <c r="N126" i="6" s="1"/>
  <c r="I127" i="6"/>
  <c r="I128" i="6"/>
  <c r="N128" i="6" s="1"/>
  <c r="I129" i="6"/>
  <c r="I130" i="6"/>
  <c r="I131" i="6"/>
  <c r="I132" i="6"/>
  <c r="N132" i="6" s="1"/>
  <c r="I133" i="6"/>
  <c r="I134" i="6"/>
  <c r="N134" i="6" s="1"/>
  <c r="I135" i="6"/>
  <c r="I136" i="6"/>
  <c r="N136" i="6" s="1"/>
  <c r="I137" i="6"/>
  <c r="I138" i="6"/>
  <c r="I139" i="6"/>
  <c r="I140" i="6"/>
  <c r="N140" i="6" s="1"/>
  <c r="I141" i="6"/>
  <c r="I142" i="6"/>
  <c r="N142" i="6" s="1"/>
  <c r="I143" i="6"/>
  <c r="I144" i="6"/>
  <c r="J144" i="6" s="1"/>
  <c r="I145" i="6"/>
  <c r="I146" i="6"/>
  <c r="I147" i="6"/>
  <c r="I148" i="6"/>
  <c r="N148" i="6" s="1"/>
  <c r="I149" i="6"/>
  <c r="I150" i="6"/>
  <c r="N150" i="6" s="1"/>
  <c r="I151" i="6"/>
  <c r="I152" i="6"/>
  <c r="J152" i="6" s="1"/>
  <c r="I153" i="6"/>
  <c r="I154" i="6"/>
  <c r="I155" i="6"/>
  <c r="I156" i="6"/>
  <c r="N156" i="6" s="1"/>
  <c r="I157" i="6"/>
  <c r="I158" i="6"/>
  <c r="N158" i="6" s="1"/>
  <c r="I159" i="6"/>
  <c r="I160" i="6"/>
  <c r="N160" i="6" s="1"/>
  <c r="I161" i="6"/>
  <c r="I162" i="6"/>
  <c r="I163" i="6"/>
  <c r="I164" i="6"/>
  <c r="N164" i="6" s="1"/>
  <c r="I165" i="6"/>
  <c r="I166" i="6"/>
  <c r="N166" i="6" s="1"/>
  <c r="I167" i="6"/>
  <c r="I168" i="6"/>
  <c r="N168" i="6" s="1"/>
  <c r="I169" i="6"/>
  <c r="I170" i="6"/>
  <c r="I171" i="6"/>
  <c r="I172" i="6"/>
  <c r="N172" i="6" s="1"/>
  <c r="I173" i="6"/>
  <c r="I174" i="6"/>
  <c r="N174" i="6" s="1"/>
  <c r="I175" i="6"/>
  <c r="I176" i="6"/>
  <c r="N176" i="6" s="1"/>
  <c r="I177" i="6"/>
  <c r="I178" i="6"/>
  <c r="I179" i="6"/>
  <c r="I180" i="6"/>
  <c r="N180" i="6" s="1"/>
  <c r="I181" i="6"/>
  <c r="I182" i="6"/>
  <c r="N182" i="6" s="1"/>
  <c r="I183" i="6"/>
  <c r="I184" i="6"/>
  <c r="N184" i="6" s="1"/>
  <c r="I185" i="6"/>
  <c r="I186" i="6"/>
  <c r="I187" i="6"/>
  <c r="I188" i="6"/>
  <c r="N188" i="6" s="1"/>
  <c r="I189" i="6"/>
  <c r="I190" i="6"/>
  <c r="N190" i="6" s="1"/>
  <c r="I191" i="6"/>
  <c r="I192" i="6"/>
  <c r="N192" i="6" s="1"/>
  <c r="I193" i="6"/>
  <c r="I194" i="6"/>
  <c r="I195" i="6"/>
  <c r="I196" i="6"/>
  <c r="N196" i="6" s="1"/>
  <c r="I197" i="6"/>
  <c r="I198" i="6"/>
  <c r="N198" i="6" s="1"/>
  <c r="I199" i="6"/>
  <c r="I200" i="6"/>
  <c r="N200" i="6" s="1"/>
  <c r="I201" i="6"/>
  <c r="I202" i="6"/>
  <c r="I203" i="6"/>
  <c r="I204" i="6"/>
  <c r="N204" i="6" s="1"/>
  <c r="I205" i="6"/>
  <c r="I206" i="6"/>
  <c r="N206" i="6" s="1"/>
  <c r="I207" i="6"/>
  <c r="I208" i="6"/>
  <c r="J208" i="6" s="1"/>
  <c r="I209" i="6"/>
  <c r="I210" i="6"/>
  <c r="I211" i="6"/>
  <c r="I212" i="6"/>
  <c r="N212" i="6" s="1"/>
  <c r="I213" i="6"/>
  <c r="I214" i="6"/>
  <c r="N214" i="6" s="1"/>
  <c r="I215" i="6"/>
  <c r="I216" i="6"/>
  <c r="J216" i="6" s="1"/>
  <c r="I217" i="6"/>
  <c r="I218" i="6"/>
  <c r="I219" i="6"/>
  <c r="I220" i="6"/>
  <c r="N220" i="6" s="1"/>
  <c r="I221" i="6"/>
  <c r="I222" i="6"/>
  <c r="N222" i="6" s="1"/>
  <c r="I223" i="6"/>
  <c r="I224" i="6"/>
  <c r="N224" i="6" s="1"/>
  <c r="I225" i="6"/>
  <c r="I226" i="6"/>
  <c r="I227" i="6"/>
  <c r="I228" i="6"/>
  <c r="N228" i="6" s="1"/>
  <c r="I229" i="6"/>
  <c r="I230" i="6"/>
  <c r="N230" i="6" s="1"/>
  <c r="I231" i="6"/>
  <c r="I232" i="6"/>
  <c r="N232" i="6" s="1"/>
  <c r="I233" i="6"/>
  <c r="I234" i="6"/>
  <c r="I235" i="6"/>
  <c r="I236" i="6"/>
  <c r="N236" i="6" s="1"/>
  <c r="I237" i="6"/>
  <c r="I238" i="6"/>
  <c r="N238" i="6" s="1"/>
  <c r="I239" i="6"/>
  <c r="I240" i="6"/>
  <c r="N240" i="6" s="1"/>
  <c r="I241" i="6"/>
  <c r="I242" i="6"/>
  <c r="I243" i="6"/>
  <c r="I244" i="6"/>
  <c r="N244" i="6" s="1"/>
  <c r="I245" i="6"/>
  <c r="I246" i="6"/>
  <c r="N246" i="6" s="1"/>
  <c r="I247" i="6"/>
  <c r="I248" i="6"/>
  <c r="N248" i="6" s="1"/>
  <c r="I249" i="6"/>
  <c r="I250" i="6"/>
  <c r="I251" i="6"/>
  <c r="I252" i="6"/>
  <c r="N252" i="6" s="1"/>
  <c r="I253" i="6"/>
  <c r="I254" i="6"/>
  <c r="N254" i="6" s="1"/>
  <c r="I255" i="6"/>
  <c r="I256" i="6"/>
  <c r="N256" i="6" s="1"/>
  <c r="I257" i="6"/>
  <c r="I258" i="6"/>
  <c r="I259" i="6"/>
  <c r="I260" i="6"/>
  <c r="N260" i="6" s="1"/>
  <c r="I261" i="6"/>
  <c r="I262" i="6"/>
  <c r="N262" i="6" s="1"/>
  <c r="I263" i="6"/>
  <c r="I264" i="6"/>
  <c r="N264" i="6" s="1"/>
  <c r="I265" i="6"/>
  <c r="I266" i="6"/>
  <c r="I267" i="6"/>
  <c r="I268" i="6"/>
  <c r="N268" i="6" s="1"/>
  <c r="I269" i="6"/>
  <c r="I270" i="6"/>
  <c r="N270" i="6" s="1"/>
  <c r="I271" i="6"/>
  <c r="I272" i="6"/>
  <c r="N272" i="6" s="1"/>
  <c r="I273" i="6"/>
  <c r="I274" i="6"/>
  <c r="I275" i="6"/>
  <c r="I276" i="6"/>
  <c r="N276" i="6" s="1"/>
  <c r="I277" i="6"/>
  <c r="I278" i="6"/>
  <c r="N278" i="6" s="1"/>
  <c r="I279" i="6"/>
  <c r="I280" i="6"/>
  <c r="J280" i="6" s="1"/>
  <c r="I281" i="6"/>
  <c r="I282" i="6"/>
  <c r="I283" i="6"/>
  <c r="I284" i="6"/>
  <c r="N284" i="6" s="1"/>
  <c r="I285" i="6"/>
  <c r="I286" i="6"/>
  <c r="N286" i="6" s="1"/>
  <c r="I287" i="6"/>
  <c r="I288" i="6"/>
  <c r="J288" i="6" s="1"/>
  <c r="I289" i="6"/>
  <c r="I290" i="6"/>
  <c r="I291" i="6"/>
  <c r="I292" i="6"/>
  <c r="N292" i="6" s="1"/>
  <c r="I293" i="6"/>
  <c r="I294" i="6"/>
  <c r="N294" i="6" s="1"/>
  <c r="I295" i="6"/>
  <c r="I296" i="6"/>
  <c r="N296" i="6" s="1"/>
  <c r="I297" i="6"/>
  <c r="I298" i="6"/>
  <c r="I299" i="6"/>
  <c r="I300" i="6"/>
  <c r="N300" i="6" s="1"/>
  <c r="I301" i="6"/>
  <c r="I302" i="6"/>
  <c r="N302" i="6" s="1"/>
  <c r="I303" i="6"/>
  <c r="I304" i="6"/>
  <c r="N304" i="6" s="1"/>
  <c r="I305" i="6"/>
  <c r="I306" i="6"/>
  <c r="I307" i="6"/>
  <c r="I308" i="6"/>
  <c r="N308" i="6" s="1"/>
  <c r="I309" i="6"/>
  <c r="I310" i="6"/>
  <c r="N310" i="6" s="1"/>
  <c r="I311" i="6"/>
  <c r="I312" i="6"/>
  <c r="N312" i="6" s="1"/>
  <c r="I313" i="6"/>
  <c r="I314" i="6"/>
  <c r="I315" i="6"/>
  <c r="I316" i="6"/>
  <c r="N316" i="6" s="1"/>
  <c r="I317" i="6"/>
  <c r="I318" i="6"/>
  <c r="N318" i="6" s="1"/>
  <c r="I319" i="6"/>
  <c r="I320" i="6"/>
  <c r="J320" i="6" s="1"/>
  <c r="I321" i="6"/>
  <c r="I322" i="6"/>
  <c r="I323" i="6"/>
  <c r="I324" i="6"/>
  <c r="N324" i="6" s="1"/>
  <c r="I325" i="6"/>
  <c r="I326" i="6"/>
  <c r="N326" i="6" s="1"/>
  <c r="I327" i="6"/>
  <c r="I328" i="6"/>
  <c r="N328" i="6" s="1"/>
  <c r="I329" i="6"/>
  <c r="I330" i="6"/>
  <c r="I331" i="6"/>
  <c r="I332" i="6"/>
  <c r="N332" i="6" s="1"/>
  <c r="I333" i="6"/>
  <c r="I334" i="6"/>
  <c r="N334" i="6" s="1"/>
  <c r="I335" i="6"/>
  <c r="I336" i="6"/>
  <c r="N336" i="6" s="1"/>
  <c r="I337" i="6"/>
  <c r="I338" i="6"/>
  <c r="I339" i="6"/>
  <c r="I340" i="6"/>
  <c r="N340" i="6" s="1"/>
  <c r="I341" i="6"/>
  <c r="I342" i="6"/>
  <c r="N342" i="6" s="1"/>
  <c r="I343" i="6"/>
  <c r="I344" i="6"/>
  <c r="J344" i="6" s="1"/>
  <c r="I345" i="6"/>
  <c r="I346" i="6"/>
  <c r="I347" i="6"/>
  <c r="I348" i="6"/>
  <c r="N348" i="6" s="1"/>
  <c r="I349" i="6"/>
  <c r="I350" i="6"/>
  <c r="N350" i="6" s="1"/>
  <c r="I351" i="6"/>
  <c r="I352" i="6"/>
  <c r="J352" i="6" s="1"/>
  <c r="I353" i="6"/>
  <c r="I354" i="6"/>
  <c r="I355" i="6"/>
  <c r="I356" i="6"/>
  <c r="N356" i="6" s="1"/>
  <c r="I357" i="6"/>
  <c r="I358" i="6"/>
  <c r="N358" i="6" s="1"/>
  <c r="I359" i="6"/>
  <c r="I360" i="6"/>
  <c r="N360" i="6" s="1"/>
  <c r="I361" i="6"/>
  <c r="I362" i="6"/>
  <c r="I42" i="6"/>
  <c r="B42" i="6"/>
  <c r="C42" i="6" s="1"/>
  <c r="B43" i="6"/>
  <c r="C43" i="6" s="1"/>
  <c r="B44" i="6"/>
  <c r="C44" i="6" s="1"/>
  <c r="B45" i="6"/>
  <c r="C45" i="6" s="1"/>
  <c r="B46" i="6"/>
  <c r="C46" i="6" s="1"/>
  <c r="B47" i="6"/>
  <c r="C47" i="6" s="1"/>
  <c r="B48" i="6"/>
  <c r="C48" i="6" s="1"/>
  <c r="B49" i="6"/>
  <c r="C49" i="6" s="1"/>
  <c r="B50" i="6"/>
  <c r="C50" i="6" s="1"/>
  <c r="B51" i="6"/>
  <c r="C51" i="6" s="1"/>
  <c r="B52" i="6"/>
  <c r="C52" i="6" s="1"/>
  <c r="B53" i="6"/>
  <c r="C53" i="6" s="1"/>
  <c r="B54" i="6"/>
  <c r="C54" i="6" s="1"/>
  <c r="B55" i="6"/>
  <c r="C55" i="6" s="1"/>
  <c r="B56" i="6"/>
  <c r="C56" i="6" s="1"/>
  <c r="B57" i="6"/>
  <c r="C57" i="6" s="1"/>
  <c r="B58" i="6"/>
  <c r="C58" i="6" s="1"/>
  <c r="B59" i="6"/>
  <c r="C59" i="6" s="1"/>
  <c r="B60" i="6"/>
  <c r="C60" i="6" s="1"/>
  <c r="B61" i="6"/>
  <c r="C61" i="6" s="1"/>
  <c r="B62" i="6"/>
  <c r="C62" i="6" s="1"/>
  <c r="B63" i="6"/>
  <c r="C63" i="6" s="1"/>
  <c r="B64" i="6"/>
  <c r="C64" i="6" s="1"/>
  <c r="B65" i="6"/>
  <c r="C65" i="6" s="1"/>
  <c r="B66" i="6"/>
  <c r="C66" i="6" s="1"/>
  <c r="B67" i="6"/>
  <c r="C67" i="6" s="1"/>
  <c r="B68" i="6"/>
  <c r="C68" i="6" s="1"/>
  <c r="B69" i="6"/>
  <c r="C69" i="6" s="1"/>
  <c r="B70" i="6"/>
  <c r="C70" i="6" s="1"/>
  <c r="B71" i="6"/>
  <c r="C71" i="6" s="1"/>
  <c r="B72" i="6"/>
  <c r="C72" i="6" s="1"/>
  <c r="B73" i="6"/>
  <c r="C73" i="6" s="1"/>
  <c r="B74" i="6"/>
  <c r="C74" i="6" s="1"/>
  <c r="B75" i="6"/>
  <c r="C75" i="6" s="1"/>
  <c r="B76" i="6"/>
  <c r="C76" i="6" s="1"/>
  <c r="B77" i="6"/>
  <c r="C77" i="6" s="1"/>
  <c r="B78" i="6"/>
  <c r="C78" i="6" s="1"/>
  <c r="B79" i="6"/>
  <c r="C79" i="6" s="1"/>
  <c r="B80" i="6"/>
  <c r="C80" i="6" s="1"/>
  <c r="B81" i="6"/>
  <c r="C81" i="6" s="1"/>
  <c r="B82" i="6"/>
  <c r="C82" i="6" s="1"/>
  <c r="B83" i="6"/>
  <c r="C83" i="6" s="1"/>
  <c r="B84" i="6"/>
  <c r="C84" i="6" s="1"/>
  <c r="B85" i="6"/>
  <c r="C85" i="6" s="1"/>
  <c r="B86" i="6"/>
  <c r="C86" i="6" s="1"/>
  <c r="B87" i="6"/>
  <c r="C87" i="6" s="1"/>
  <c r="B88" i="6"/>
  <c r="C88" i="6" s="1"/>
  <c r="B89" i="6"/>
  <c r="C89" i="6" s="1"/>
  <c r="B90" i="6"/>
  <c r="C90" i="6" s="1"/>
  <c r="B91" i="6"/>
  <c r="C91" i="6" s="1"/>
  <c r="B92" i="6"/>
  <c r="C92" i="6" s="1"/>
  <c r="B93" i="6"/>
  <c r="C93" i="6" s="1"/>
  <c r="B94" i="6"/>
  <c r="C94" i="6" s="1"/>
  <c r="B95" i="6"/>
  <c r="C95" i="6" s="1"/>
  <c r="B96" i="6"/>
  <c r="C96" i="6" s="1"/>
  <c r="B97" i="6"/>
  <c r="C97" i="6" s="1"/>
  <c r="B98" i="6"/>
  <c r="C98" i="6" s="1"/>
  <c r="B99" i="6"/>
  <c r="C99" i="6" s="1"/>
  <c r="B100" i="6"/>
  <c r="C100" i="6" s="1"/>
  <c r="B101" i="6"/>
  <c r="C101" i="6" s="1"/>
  <c r="B102" i="6"/>
  <c r="C102" i="6" s="1"/>
  <c r="B103" i="6"/>
  <c r="C103" i="6" s="1"/>
  <c r="B104" i="6"/>
  <c r="C104" i="6" s="1"/>
  <c r="B105" i="6"/>
  <c r="C105" i="6" s="1"/>
  <c r="B106" i="6"/>
  <c r="C106" i="6" s="1"/>
  <c r="B107" i="6"/>
  <c r="C107" i="6" s="1"/>
  <c r="B108" i="6"/>
  <c r="C108" i="6" s="1"/>
  <c r="B109" i="6"/>
  <c r="C109" i="6" s="1"/>
  <c r="B110" i="6"/>
  <c r="C110" i="6" s="1"/>
  <c r="B111" i="6"/>
  <c r="C111" i="6" s="1"/>
  <c r="B112" i="6"/>
  <c r="C112" i="6" s="1"/>
  <c r="B113" i="6"/>
  <c r="C113" i="6" s="1"/>
  <c r="B114" i="6"/>
  <c r="C114" i="6" s="1"/>
  <c r="B115" i="6"/>
  <c r="C115" i="6" s="1"/>
  <c r="B116" i="6"/>
  <c r="C116" i="6" s="1"/>
  <c r="B117" i="6"/>
  <c r="C117" i="6" s="1"/>
  <c r="B118" i="6"/>
  <c r="C118" i="6" s="1"/>
  <c r="B119" i="6"/>
  <c r="C119" i="6" s="1"/>
  <c r="B120" i="6"/>
  <c r="C120" i="6" s="1"/>
  <c r="B121" i="6"/>
  <c r="C121" i="6" s="1"/>
  <c r="B122" i="6"/>
  <c r="C122" i="6" s="1"/>
  <c r="B123" i="6"/>
  <c r="C123" i="6" s="1"/>
  <c r="B124" i="6"/>
  <c r="C124" i="6" s="1"/>
  <c r="B125" i="6"/>
  <c r="C125" i="6" s="1"/>
  <c r="B126" i="6"/>
  <c r="C126" i="6" s="1"/>
  <c r="B127" i="6"/>
  <c r="C127" i="6" s="1"/>
  <c r="B128" i="6"/>
  <c r="C128" i="6" s="1"/>
  <c r="B129" i="6"/>
  <c r="C129" i="6" s="1"/>
  <c r="B130" i="6"/>
  <c r="C130" i="6" s="1"/>
  <c r="B131" i="6"/>
  <c r="C131" i="6" s="1"/>
  <c r="B132" i="6"/>
  <c r="C132" i="6" s="1"/>
  <c r="B133" i="6"/>
  <c r="C133" i="6" s="1"/>
  <c r="B134" i="6"/>
  <c r="C134" i="6" s="1"/>
  <c r="B135" i="6"/>
  <c r="C135" i="6" s="1"/>
  <c r="B136" i="6"/>
  <c r="C136" i="6" s="1"/>
  <c r="B137" i="6"/>
  <c r="C137" i="6" s="1"/>
  <c r="B138" i="6"/>
  <c r="C138" i="6" s="1"/>
  <c r="B139" i="6"/>
  <c r="C139" i="6" s="1"/>
  <c r="B140" i="6"/>
  <c r="C140" i="6" s="1"/>
  <c r="B141" i="6"/>
  <c r="C141" i="6" s="1"/>
  <c r="B142" i="6"/>
  <c r="C142" i="6" s="1"/>
  <c r="B143" i="6"/>
  <c r="C143" i="6" s="1"/>
  <c r="B144" i="6"/>
  <c r="C144" i="6" s="1"/>
  <c r="B145" i="6"/>
  <c r="C145" i="6" s="1"/>
  <c r="B146" i="6"/>
  <c r="C146" i="6" s="1"/>
  <c r="B147" i="6"/>
  <c r="C147" i="6" s="1"/>
  <c r="B148" i="6"/>
  <c r="C148" i="6" s="1"/>
  <c r="B149" i="6"/>
  <c r="C149" i="6" s="1"/>
  <c r="B150" i="6"/>
  <c r="C150" i="6" s="1"/>
  <c r="B151" i="6"/>
  <c r="C151" i="6" s="1"/>
  <c r="B152" i="6"/>
  <c r="C152" i="6" s="1"/>
  <c r="B153" i="6"/>
  <c r="C153" i="6" s="1"/>
  <c r="B154" i="6"/>
  <c r="C154" i="6" s="1"/>
  <c r="B155" i="6"/>
  <c r="C155" i="6" s="1"/>
  <c r="B156" i="6"/>
  <c r="C156" i="6" s="1"/>
  <c r="B157" i="6"/>
  <c r="C157" i="6" s="1"/>
  <c r="B158" i="6"/>
  <c r="C158" i="6" s="1"/>
  <c r="B159" i="6"/>
  <c r="C159" i="6" s="1"/>
  <c r="B160" i="6"/>
  <c r="C160" i="6" s="1"/>
  <c r="B161" i="6"/>
  <c r="C161" i="6" s="1"/>
  <c r="B162" i="6"/>
  <c r="C162" i="6" s="1"/>
  <c r="B163" i="6"/>
  <c r="C163" i="6" s="1"/>
  <c r="B164" i="6"/>
  <c r="C164" i="6" s="1"/>
  <c r="B165" i="6"/>
  <c r="C165" i="6" s="1"/>
  <c r="B166" i="6"/>
  <c r="C166" i="6" s="1"/>
  <c r="B167" i="6"/>
  <c r="C167" i="6" s="1"/>
  <c r="B168" i="6"/>
  <c r="C168" i="6" s="1"/>
  <c r="B169" i="6"/>
  <c r="C169" i="6" s="1"/>
  <c r="B170" i="6"/>
  <c r="C170" i="6" s="1"/>
  <c r="B171" i="6"/>
  <c r="C171" i="6" s="1"/>
  <c r="B172" i="6"/>
  <c r="C172" i="6" s="1"/>
  <c r="B173" i="6"/>
  <c r="C173" i="6" s="1"/>
  <c r="B174" i="6"/>
  <c r="C174" i="6" s="1"/>
  <c r="B175" i="6"/>
  <c r="C175" i="6" s="1"/>
  <c r="B176" i="6"/>
  <c r="C176" i="6" s="1"/>
  <c r="B177" i="6"/>
  <c r="C177" i="6" s="1"/>
  <c r="B178" i="6"/>
  <c r="C178" i="6" s="1"/>
  <c r="B179" i="6"/>
  <c r="C179" i="6" s="1"/>
  <c r="B180" i="6"/>
  <c r="C180" i="6" s="1"/>
  <c r="B181" i="6"/>
  <c r="C181" i="6" s="1"/>
  <c r="B182" i="6"/>
  <c r="C182" i="6" s="1"/>
  <c r="B183" i="6"/>
  <c r="C183" i="6" s="1"/>
  <c r="B184" i="6"/>
  <c r="C184" i="6" s="1"/>
  <c r="B185" i="6"/>
  <c r="C185" i="6" s="1"/>
  <c r="B186" i="6"/>
  <c r="C186" i="6" s="1"/>
  <c r="B187" i="6"/>
  <c r="C187" i="6" s="1"/>
  <c r="B188" i="6"/>
  <c r="C188" i="6" s="1"/>
  <c r="B189" i="6"/>
  <c r="C189" i="6" s="1"/>
  <c r="B190" i="6"/>
  <c r="C190" i="6" s="1"/>
  <c r="B191" i="6"/>
  <c r="C191" i="6" s="1"/>
  <c r="B192" i="6"/>
  <c r="C192" i="6" s="1"/>
  <c r="B193" i="6"/>
  <c r="C193" i="6" s="1"/>
  <c r="B194" i="6"/>
  <c r="C194" i="6" s="1"/>
  <c r="B195" i="6"/>
  <c r="C195" i="6" s="1"/>
  <c r="B196" i="6"/>
  <c r="C196" i="6" s="1"/>
  <c r="B197" i="6"/>
  <c r="C197" i="6" s="1"/>
  <c r="B198" i="6"/>
  <c r="C198" i="6" s="1"/>
  <c r="B199" i="6"/>
  <c r="C199" i="6" s="1"/>
  <c r="B200" i="6"/>
  <c r="C200" i="6" s="1"/>
  <c r="B201" i="6"/>
  <c r="C201" i="6" s="1"/>
  <c r="B202" i="6"/>
  <c r="C202" i="6" s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" i="8"/>
  <c r="H2" i="8"/>
  <c r="F2" i="7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F45" i="6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2" i="1"/>
  <c r="G2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3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7" i="1"/>
  <c r="E38" i="1"/>
  <c r="E2" i="1"/>
  <c r="F44" i="6" l="1"/>
  <c r="F46" i="6"/>
  <c r="N362" i="6"/>
  <c r="N354" i="6"/>
  <c r="N346" i="6"/>
  <c r="N338" i="6"/>
  <c r="N330" i="6"/>
  <c r="N322" i="6"/>
  <c r="N314" i="6"/>
  <c r="N306" i="6"/>
  <c r="N298" i="6"/>
  <c r="N290" i="6"/>
  <c r="N282" i="6"/>
  <c r="N274" i="6"/>
  <c r="N266" i="6"/>
  <c r="N258" i="6"/>
  <c r="N250" i="6"/>
  <c r="N242" i="6"/>
  <c r="N234" i="6"/>
  <c r="N226" i="6"/>
  <c r="N218" i="6"/>
  <c r="N210" i="6"/>
  <c r="N202" i="6"/>
  <c r="N194" i="6"/>
  <c r="N186" i="6"/>
  <c r="N178" i="6"/>
  <c r="N170" i="6"/>
  <c r="N162" i="6"/>
  <c r="N154" i="6"/>
  <c r="N146" i="6"/>
  <c r="N138" i="6"/>
  <c r="N130" i="6"/>
  <c r="N122" i="6"/>
  <c r="N114" i="6"/>
  <c r="N106" i="6"/>
  <c r="N98" i="6"/>
  <c r="N90" i="6"/>
  <c r="N82" i="6"/>
  <c r="N74" i="6"/>
  <c r="N66" i="6"/>
  <c r="N58" i="6"/>
  <c r="N50" i="6"/>
  <c r="J256" i="6"/>
  <c r="J160" i="6"/>
  <c r="J128" i="6"/>
  <c r="J64" i="6"/>
  <c r="J232" i="6"/>
  <c r="J120" i="6"/>
  <c r="N352" i="6"/>
  <c r="N42" i="6"/>
  <c r="N355" i="6"/>
  <c r="N347" i="6"/>
  <c r="N339" i="6"/>
  <c r="N331" i="6"/>
  <c r="N323" i="6"/>
  <c r="N315" i="6"/>
  <c r="N307" i="6"/>
  <c r="N299" i="6"/>
  <c r="N291" i="6"/>
  <c r="N283" i="6"/>
  <c r="N275" i="6"/>
  <c r="N267" i="6"/>
  <c r="N259" i="6"/>
  <c r="N251" i="6"/>
  <c r="N243" i="6"/>
  <c r="N235" i="6"/>
  <c r="N227" i="6"/>
  <c r="N219" i="6"/>
  <c r="N211" i="6"/>
  <c r="N203" i="6"/>
  <c r="N195" i="6"/>
  <c r="N187" i="6"/>
  <c r="N179" i="6"/>
  <c r="N171" i="6"/>
  <c r="N163" i="6"/>
  <c r="N155" i="6"/>
  <c r="N147" i="6"/>
  <c r="N139" i="6"/>
  <c r="N131" i="6"/>
  <c r="N123" i="6"/>
  <c r="N115" i="6"/>
  <c r="N107" i="6"/>
  <c r="N99" i="6"/>
  <c r="N91" i="6"/>
  <c r="N83" i="6"/>
  <c r="N75" i="6"/>
  <c r="N67" i="6"/>
  <c r="N59" i="6"/>
  <c r="N51" i="6"/>
  <c r="N43" i="6"/>
  <c r="J224" i="6"/>
  <c r="J104" i="6"/>
  <c r="N288" i="6"/>
  <c r="J336" i="6"/>
  <c r="J200" i="6"/>
  <c r="J96" i="6"/>
  <c r="J328" i="6"/>
  <c r="J192" i="6"/>
  <c r="J88" i="6"/>
  <c r="J312" i="6"/>
  <c r="J168" i="6"/>
  <c r="J72" i="6"/>
  <c r="J272" i="6"/>
  <c r="N56" i="6"/>
  <c r="J264" i="6"/>
  <c r="J136" i="6"/>
  <c r="J304" i="6"/>
  <c r="J254" i="6"/>
  <c r="J222" i="6"/>
  <c r="J190" i="6"/>
  <c r="J158" i="6"/>
  <c r="J126" i="6"/>
  <c r="J94" i="6"/>
  <c r="J62" i="6"/>
  <c r="N344" i="6"/>
  <c r="N280" i="6"/>
  <c r="N216" i="6"/>
  <c r="N152" i="6"/>
  <c r="J360" i="6"/>
  <c r="J296" i="6"/>
  <c r="J248" i="6"/>
  <c r="J184" i="6"/>
  <c r="N208" i="6"/>
  <c r="N144" i="6"/>
  <c r="N80" i="6"/>
  <c r="N361" i="6"/>
  <c r="N353" i="6"/>
  <c r="N345" i="6"/>
  <c r="N337" i="6"/>
  <c r="N329" i="6"/>
  <c r="N321" i="6"/>
  <c r="N313" i="6"/>
  <c r="N305" i="6"/>
  <c r="N297" i="6"/>
  <c r="N289" i="6"/>
  <c r="N281" i="6"/>
  <c r="N273" i="6"/>
  <c r="N265" i="6"/>
  <c r="N257" i="6"/>
  <c r="N249" i="6"/>
  <c r="N241" i="6"/>
  <c r="N233" i="6"/>
  <c r="N225" i="6"/>
  <c r="N217" i="6"/>
  <c r="N209" i="6"/>
  <c r="N201" i="6"/>
  <c r="N193" i="6"/>
  <c r="N185" i="6"/>
  <c r="N177" i="6"/>
  <c r="N169" i="6"/>
  <c r="N161" i="6"/>
  <c r="N153" i="6"/>
  <c r="N145" i="6"/>
  <c r="N137" i="6"/>
  <c r="N129" i="6"/>
  <c r="N121" i="6"/>
  <c r="N113" i="6"/>
  <c r="N105" i="6"/>
  <c r="N97" i="6"/>
  <c r="N89" i="6"/>
  <c r="N81" i="6"/>
  <c r="N73" i="6"/>
  <c r="N65" i="6"/>
  <c r="N57" i="6"/>
  <c r="N49" i="6"/>
  <c r="J246" i="6"/>
  <c r="J214" i="6"/>
  <c r="J182" i="6"/>
  <c r="J150" i="6"/>
  <c r="J118" i="6"/>
  <c r="J86" i="6"/>
  <c r="J54" i="6"/>
  <c r="J240" i="6"/>
  <c r="J176" i="6"/>
  <c r="J112" i="6"/>
  <c r="J48" i="6"/>
  <c r="N320" i="6"/>
  <c r="J238" i="6"/>
  <c r="J206" i="6"/>
  <c r="J174" i="6"/>
  <c r="J142" i="6"/>
  <c r="J110" i="6"/>
  <c r="J78" i="6"/>
  <c r="J46" i="6"/>
  <c r="J262" i="6"/>
  <c r="J230" i="6"/>
  <c r="J198" i="6"/>
  <c r="J166" i="6"/>
  <c r="J134" i="6"/>
  <c r="J102" i="6"/>
  <c r="J70" i="6"/>
  <c r="F43" i="6"/>
  <c r="F47" i="6" s="1"/>
  <c r="J359" i="6"/>
  <c r="N359" i="6"/>
  <c r="J351" i="6"/>
  <c r="N351" i="6"/>
  <c r="J343" i="6"/>
  <c r="N343" i="6"/>
  <c r="J335" i="6"/>
  <c r="N335" i="6"/>
  <c r="J327" i="6"/>
  <c r="N327" i="6"/>
  <c r="J319" i="6"/>
  <c r="N319" i="6"/>
  <c r="J311" i="6"/>
  <c r="N311" i="6"/>
  <c r="J303" i="6"/>
  <c r="N303" i="6"/>
  <c r="J295" i="6"/>
  <c r="N295" i="6"/>
  <c r="J287" i="6"/>
  <c r="N287" i="6"/>
  <c r="J279" i="6"/>
  <c r="N279" i="6"/>
  <c r="J271" i="6"/>
  <c r="N271" i="6"/>
  <c r="J263" i="6"/>
  <c r="N263" i="6"/>
  <c r="J255" i="6"/>
  <c r="N255" i="6"/>
  <c r="J247" i="6"/>
  <c r="N247" i="6"/>
  <c r="J239" i="6"/>
  <c r="N239" i="6"/>
  <c r="J231" i="6"/>
  <c r="N231" i="6"/>
  <c r="J223" i="6"/>
  <c r="N223" i="6"/>
  <c r="J215" i="6"/>
  <c r="N215" i="6"/>
  <c r="J207" i="6"/>
  <c r="N207" i="6"/>
  <c r="J199" i="6"/>
  <c r="N199" i="6"/>
  <c r="J191" i="6"/>
  <c r="N191" i="6"/>
  <c r="J183" i="6"/>
  <c r="N183" i="6"/>
  <c r="J175" i="6"/>
  <c r="N175" i="6"/>
  <c r="J167" i="6"/>
  <c r="N167" i="6"/>
  <c r="J159" i="6"/>
  <c r="N159" i="6"/>
  <c r="J151" i="6"/>
  <c r="N151" i="6"/>
  <c r="J143" i="6"/>
  <c r="N143" i="6"/>
  <c r="J135" i="6"/>
  <c r="N135" i="6"/>
  <c r="J127" i="6"/>
  <c r="N127" i="6"/>
  <c r="J119" i="6"/>
  <c r="N119" i="6"/>
  <c r="J111" i="6"/>
  <c r="N111" i="6"/>
  <c r="J103" i="6"/>
  <c r="N103" i="6"/>
  <c r="J95" i="6"/>
  <c r="N95" i="6"/>
  <c r="J87" i="6"/>
  <c r="N87" i="6"/>
  <c r="J79" i="6"/>
  <c r="N79" i="6"/>
  <c r="J71" i="6"/>
  <c r="N71" i="6"/>
  <c r="J63" i="6"/>
  <c r="N63" i="6"/>
  <c r="J55" i="6"/>
  <c r="N55" i="6"/>
  <c r="J47" i="6"/>
  <c r="N47" i="6"/>
  <c r="J350" i="6"/>
  <c r="J318" i="6"/>
  <c r="J286" i="6"/>
  <c r="N357" i="6"/>
  <c r="J357" i="6"/>
  <c r="N349" i="6"/>
  <c r="J349" i="6"/>
  <c r="N341" i="6"/>
  <c r="J341" i="6"/>
  <c r="N333" i="6"/>
  <c r="J333" i="6"/>
  <c r="N325" i="6"/>
  <c r="J325" i="6"/>
  <c r="N317" i="6"/>
  <c r="J317" i="6"/>
  <c r="N309" i="6"/>
  <c r="J309" i="6"/>
  <c r="N301" i="6"/>
  <c r="J301" i="6"/>
  <c r="N293" i="6"/>
  <c r="J293" i="6"/>
  <c r="N285" i="6"/>
  <c r="J285" i="6"/>
  <c r="N277" i="6"/>
  <c r="J277" i="6"/>
  <c r="N269" i="6"/>
  <c r="J269" i="6"/>
  <c r="N261" i="6"/>
  <c r="J261" i="6"/>
  <c r="N253" i="6"/>
  <c r="J253" i="6"/>
  <c r="N245" i="6"/>
  <c r="J245" i="6"/>
  <c r="N237" i="6"/>
  <c r="J237" i="6"/>
  <c r="N229" i="6"/>
  <c r="J229" i="6"/>
  <c r="N221" i="6"/>
  <c r="J221" i="6"/>
  <c r="N213" i="6"/>
  <c r="J213" i="6"/>
  <c r="N205" i="6"/>
  <c r="J205" i="6"/>
  <c r="N197" i="6"/>
  <c r="J197" i="6"/>
  <c r="N189" i="6"/>
  <c r="J189" i="6"/>
  <c r="N181" i="6"/>
  <c r="J181" i="6"/>
  <c r="N173" i="6"/>
  <c r="J173" i="6"/>
  <c r="N165" i="6"/>
  <c r="J165" i="6"/>
  <c r="N157" i="6"/>
  <c r="J157" i="6"/>
  <c r="N149" i="6"/>
  <c r="J149" i="6"/>
  <c r="N141" i="6"/>
  <c r="J141" i="6"/>
  <c r="N133" i="6"/>
  <c r="J133" i="6"/>
  <c r="N125" i="6"/>
  <c r="J125" i="6"/>
  <c r="N117" i="6"/>
  <c r="J117" i="6"/>
  <c r="N109" i="6"/>
  <c r="J109" i="6"/>
  <c r="N101" i="6"/>
  <c r="J101" i="6"/>
  <c r="N93" i="6"/>
  <c r="J93" i="6"/>
  <c r="N85" i="6"/>
  <c r="J85" i="6"/>
  <c r="N77" i="6"/>
  <c r="J77" i="6"/>
  <c r="N69" i="6"/>
  <c r="J69" i="6"/>
  <c r="N61" i="6"/>
  <c r="J61" i="6"/>
  <c r="N53" i="6"/>
  <c r="J53" i="6"/>
  <c r="N45" i="6"/>
  <c r="J45" i="6"/>
  <c r="J342" i="6"/>
  <c r="J310" i="6"/>
  <c r="J278" i="6"/>
  <c r="J334" i="6"/>
  <c r="J302" i="6"/>
  <c r="J270" i="6"/>
  <c r="J358" i="6"/>
  <c r="J326" i="6"/>
  <c r="J294" i="6"/>
  <c r="J356" i="6"/>
  <c r="J348" i="6"/>
  <c r="J340" i="6"/>
  <c r="J332" i="6"/>
  <c r="J324" i="6"/>
  <c r="J316" i="6"/>
  <c r="J308" i="6"/>
  <c r="J300" i="6"/>
  <c r="J292" i="6"/>
  <c r="J284" i="6"/>
  <c r="J276" i="6"/>
  <c r="J268" i="6"/>
  <c r="J260" i="6"/>
  <c r="J252" i="6"/>
  <c r="J244" i="6"/>
  <c r="J236" i="6"/>
  <c r="J228" i="6"/>
  <c r="J220" i="6"/>
  <c r="J212" i="6"/>
  <c r="J204" i="6"/>
  <c r="J196" i="6"/>
  <c r="J188" i="6"/>
  <c r="J180" i="6"/>
  <c r="J172" i="6"/>
  <c r="J164" i="6"/>
  <c r="J156" i="6"/>
  <c r="J148" i="6"/>
  <c r="J140" i="6"/>
  <c r="J132" i="6"/>
  <c r="J124" i="6"/>
  <c r="J116" i="6"/>
  <c r="J108" i="6"/>
  <c r="J100" i="6"/>
  <c r="J92" i="6"/>
  <c r="J84" i="6"/>
  <c r="J76" i="6"/>
  <c r="J68" i="6"/>
  <c r="J60" i="6"/>
  <c r="J52" i="6"/>
  <c r="J44" i="6"/>
  <c r="J42" i="6"/>
  <c r="J355" i="6"/>
  <c r="J347" i="6"/>
  <c r="J339" i="6"/>
  <c r="J331" i="6"/>
  <c r="J323" i="6"/>
  <c r="J315" i="6"/>
  <c r="J307" i="6"/>
  <c r="J299" i="6"/>
  <c r="J291" i="6"/>
  <c r="J283" i="6"/>
  <c r="J275" i="6"/>
  <c r="J267" i="6"/>
  <c r="J259" i="6"/>
  <c r="J251" i="6"/>
  <c r="J243" i="6"/>
  <c r="J235" i="6"/>
  <c r="J227" i="6"/>
  <c r="J219" i="6"/>
  <c r="J211" i="6"/>
  <c r="J203" i="6"/>
  <c r="J195" i="6"/>
  <c r="J187" i="6"/>
  <c r="J179" i="6"/>
  <c r="J171" i="6"/>
  <c r="J163" i="6"/>
  <c r="J155" i="6"/>
  <c r="J147" i="6"/>
  <c r="J139" i="6"/>
  <c r="J131" i="6"/>
  <c r="J123" i="6"/>
  <c r="J115" i="6"/>
  <c r="J107" i="6"/>
  <c r="J99" i="6"/>
  <c r="J91" i="6"/>
  <c r="J83" i="6"/>
  <c r="J75" i="6"/>
  <c r="J67" i="6"/>
  <c r="J59" i="6"/>
  <c r="J51" i="6"/>
  <c r="J43" i="6"/>
  <c r="J362" i="6"/>
  <c r="J354" i="6"/>
  <c r="J346" i="6"/>
  <c r="J338" i="6"/>
  <c r="J330" i="6"/>
  <c r="J322" i="6"/>
  <c r="J314" i="6"/>
  <c r="J306" i="6"/>
  <c r="J298" i="6"/>
  <c r="J290" i="6"/>
  <c r="J282" i="6"/>
  <c r="J274" i="6"/>
  <c r="J266" i="6"/>
  <c r="J258" i="6"/>
  <c r="J250" i="6"/>
  <c r="J242" i="6"/>
  <c r="J234" i="6"/>
  <c r="J226" i="6"/>
  <c r="J218" i="6"/>
  <c r="J210" i="6"/>
  <c r="J202" i="6"/>
  <c r="J194" i="6"/>
  <c r="J186" i="6"/>
  <c r="J178" i="6"/>
  <c r="J170" i="6"/>
  <c r="J162" i="6"/>
  <c r="J154" i="6"/>
  <c r="J146" i="6"/>
  <c r="J138" i="6"/>
  <c r="J130" i="6"/>
  <c r="J122" i="6"/>
  <c r="J114" i="6"/>
  <c r="J106" i="6"/>
  <c r="J98" i="6"/>
  <c r="J90" i="6"/>
  <c r="J82" i="6"/>
  <c r="J74" i="6"/>
  <c r="J66" i="6"/>
  <c r="J58" i="6"/>
  <c r="J50" i="6"/>
  <c r="J361" i="6"/>
  <c r="J353" i="6"/>
  <c r="J345" i="6"/>
  <c r="J337" i="6"/>
  <c r="J329" i="6"/>
  <c r="J321" i="6"/>
  <c r="J313" i="6"/>
  <c r="J305" i="6"/>
  <c r="J297" i="6"/>
  <c r="J289" i="6"/>
  <c r="J281" i="6"/>
  <c r="J273" i="6"/>
  <c r="J265" i="6"/>
  <c r="J257" i="6"/>
  <c r="J249" i="6"/>
  <c r="J241" i="6"/>
  <c r="J233" i="6"/>
  <c r="J225" i="6"/>
  <c r="J217" i="6"/>
  <c r="J209" i="6"/>
  <c r="J201" i="6"/>
  <c r="J193" i="6"/>
  <c r="J185" i="6"/>
  <c r="J177" i="6"/>
  <c r="J169" i="6"/>
  <c r="J161" i="6"/>
  <c r="J153" i="6"/>
  <c r="J145" i="6"/>
  <c r="J137" i="6"/>
  <c r="J129" i="6"/>
  <c r="J121" i="6"/>
  <c r="J113" i="6"/>
  <c r="J105" i="6"/>
  <c r="J97" i="6"/>
  <c r="J89" i="6"/>
  <c r="J81" i="6"/>
  <c r="J73" i="6"/>
  <c r="J65" i="6"/>
  <c r="J57" i="6"/>
  <c r="J49" i="6"/>
</calcChain>
</file>

<file path=xl/sharedStrings.xml><?xml version="1.0" encoding="utf-8"?>
<sst xmlns="http://schemas.openxmlformats.org/spreadsheetml/2006/main" count="90" uniqueCount="32">
  <si>
    <t>Scale</t>
  </si>
  <si>
    <t>Wavelength</t>
  </si>
  <si>
    <t>Scale (cm)</t>
  </si>
  <si>
    <t>Wavelength (nm)</t>
  </si>
  <si>
    <t>11.5 (no filter)</t>
  </si>
  <si>
    <t>11.5 (filter)</t>
  </si>
  <si>
    <t>Time saved</t>
  </si>
  <si>
    <t>Pretend Erin</t>
  </si>
  <si>
    <t>Wavelength (rounded)</t>
  </si>
  <si>
    <t>Value to look up</t>
  </si>
  <si>
    <t>Wavelength cent</t>
  </si>
  <si>
    <t>Wav centr</t>
  </si>
  <si>
    <t>Wav cent</t>
  </si>
  <si>
    <t>wav cent</t>
  </si>
  <si>
    <t>Wave left (longest)</t>
  </si>
  <si>
    <t>Wave right (shortest)</t>
  </si>
  <si>
    <t>Wav left (long)</t>
  </si>
  <si>
    <t>Wave right (shotr)</t>
  </si>
  <si>
    <t>wave left (long)</t>
  </si>
  <si>
    <t>Wav right (short)</t>
  </si>
  <si>
    <t>wav right (short)</t>
  </si>
  <si>
    <t>Difference</t>
  </si>
  <si>
    <t>Rounded</t>
  </si>
  <si>
    <t>Old lookup</t>
  </si>
  <si>
    <t>Test</t>
  </si>
  <si>
    <t>Cm</t>
  </si>
  <si>
    <t>New lookup</t>
  </si>
  <si>
    <t>Test arm 1</t>
  </si>
  <si>
    <t>Test arm 2</t>
  </si>
  <si>
    <t>Red</t>
  </si>
  <si>
    <t>Green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</si>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</sst>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Verdana"/>
      <family val="2"/>
    </font>
    <font>
      <sz val="9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2" fillId="0" borderId="0" xfId="0" applyFont="1" applyAlignment="1">
      <alignment horizontal="center" vertical="center" readingOrder="1"/>
    </xf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Wavelength: Scale Calibration Test Arm 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poly"/>
            <c:order val="4"/>
            <c:dispRSqr val="1"/>
            <c:dispEq val="1"/>
            <c:trendlineLbl>
              <c:layout>
                <c:manualLayout>
                  <c:x val="-4.445612799035701E-2"/>
                  <c:y val="-0.57246018636508889"/>
                </c:manualLayout>
              </c:layout>
              <c:numFmt formatCode="#,##0.00000000" sourceLinked="0"/>
            </c:trendlineLbl>
          </c:trendline>
          <c:xVal>
            <c:numRef>
              <c:f>'Test arm 1'!$A$2:$A$34</c:f>
              <c:numCache>
                <c:formatCode>General</c:formatCode>
                <c:ptCount val="33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  <c:pt idx="17">
                  <c:v>11.5</c:v>
                </c:pt>
                <c:pt idx="18">
                  <c:v>12</c:v>
                </c:pt>
                <c:pt idx="19">
                  <c:v>12.5</c:v>
                </c:pt>
                <c:pt idx="20">
                  <c:v>13</c:v>
                </c:pt>
                <c:pt idx="21">
                  <c:v>13.5</c:v>
                </c:pt>
                <c:pt idx="22">
                  <c:v>14</c:v>
                </c:pt>
                <c:pt idx="23">
                  <c:v>14.5</c:v>
                </c:pt>
                <c:pt idx="24">
                  <c:v>15</c:v>
                </c:pt>
                <c:pt idx="25">
                  <c:v>15.5</c:v>
                </c:pt>
                <c:pt idx="26">
                  <c:v>16</c:v>
                </c:pt>
                <c:pt idx="27">
                  <c:v>16.5</c:v>
                </c:pt>
                <c:pt idx="28">
                  <c:v>17</c:v>
                </c:pt>
                <c:pt idx="29">
                  <c:v>17.5</c:v>
                </c:pt>
                <c:pt idx="30">
                  <c:v>18</c:v>
                </c:pt>
                <c:pt idx="31">
                  <c:v>18.5</c:v>
                </c:pt>
                <c:pt idx="32">
                  <c:v>19</c:v>
                </c:pt>
              </c:numCache>
            </c:numRef>
          </c:xVal>
          <c:yVal>
            <c:numRef>
              <c:f>'Test arm 1'!$C$2:$C$34</c:f>
              <c:numCache>
                <c:formatCode>General</c:formatCode>
                <c:ptCount val="33"/>
                <c:pt idx="0">
                  <c:v>670.27</c:v>
                </c:pt>
                <c:pt idx="1">
                  <c:v>652.63</c:v>
                </c:pt>
                <c:pt idx="2">
                  <c:v>636.27</c:v>
                </c:pt>
                <c:pt idx="3">
                  <c:v>620.51</c:v>
                </c:pt>
                <c:pt idx="4">
                  <c:v>606.78</c:v>
                </c:pt>
                <c:pt idx="5">
                  <c:v>594.04999999999995</c:v>
                </c:pt>
                <c:pt idx="6">
                  <c:v>582.33000000000004</c:v>
                </c:pt>
                <c:pt idx="7">
                  <c:v>570.91999999999996</c:v>
                </c:pt>
                <c:pt idx="8">
                  <c:v>560.54</c:v>
                </c:pt>
                <c:pt idx="9">
                  <c:v>551.21</c:v>
                </c:pt>
                <c:pt idx="10">
                  <c:v>542.21</c:v>
                </c:pt>
                <c:pt idx="11">
                  <c:v>533.17999999999995</c:v>
                </c:pt>
                <c:pt idx="12">
                  <c:v>525.58000000000004</c:v>
                </c:pt>
                <c:pt idx="13">
                  <c:v>517.96</c:v>
                </c:pt>
                <c:pt idx="14">
                  <c:v>511.05</c:v>
                </c:pt>
                <c:pt idx="15">
                  <c:v>504.13</c:v>
                </c:pt>
                <c:pt idx="16">
                  <c:v>497.92</c:v>
                </c:pt>
                <c:pt idx="17">
                  <c:v>491.71</c:v>
                </c:pt>
                <c:pt idx="18">
                  <c:v>485.84</c:v>
                </c:pt>
                <c:pt idx="19">
                  <c:v>480.34</c:v>
                </c:pt>
                <c:pt idx="20">
                  <c:v>475.19</c:v>
                </c:pt>
                <c:pt idx="21">
                  <c:v>470.04</c:v>
                </c:pt>
                <c:pt idx="22">
                  <c:v>465.61</c:v>
                </c:pt>
                <c:pt idx="23">
                  <c:v>460.82</c:v>
                </c:pt>
                <c:pt idx="24">
                  <c:v>456.75</c:v>
                </c:pt>
                <c:pt idx="25">
                  <c:v>452.68</c:v>
                </c:pt>
                <c:pt idx="26">
                  <c:v>448.61</c:v>
                </c:pt>
                <c:pt idx="27">
                  <c:v>444.54</c:v>
                </c:pt>
                <c:pt idx="28">
                  <c:v>441.19</c:v>
                </c:pt>
                <c:pt idx="29">
                  <c:v>437.47</c:v>
                </c:pt>
                <c:pt idx="30">
                  <c:v>434.12</c:v>
                </c:pt>
                <c:pt idx="31">
                  <c:v>430.77</c:v>
                </c:pt>
                <c:pt idx="32">
                  <c:v>427.79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8-4B39-9019-24FD6C811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162840"/>
        <c:axId val="74319784"/>
      </c:scatterChart>
      <c:valAx>
        <c:axId val="3441628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Scale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9784"/>
        <c:crosses val="autoZero"/>
        <c:crossBetween val="midCat"/>
      </c:valAx>
      <c:valAx>
        <c:axId val="74319784"/>
        <c:scaling>
          <c:orientation val="minMax"/>
          <c:min val="300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62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Wavelength: Scale Calibration Test Arm 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poly"/>
            <c:order val="4"/>
            <c:dispRSqr val="1"/>
            <c:dispEq val="1"/>
            <c:trendlineLbl>
              <c:layout>
                <c:manualLayout>
                  <c:x val="-6.2294314411384687E-2"/>
                  <c:y val="5.9731803344677467E-3"/>
                </c:manualLayout>
              </c:layout>
              <c:numFmt formatCode="General" sourceLinked="0"/>
            </c:trendlineLbl>
          </c:trendline>
          <c:trendline>
            <c:trendlineType val="poly"/>
            <c:order val="4"/>
            <c:dispRSqr val="0"/>
            <c:dispEq val="0"/>
          </c:trendline>
          <c:xVal>
            <c:numRef>
              <c:f>'Test arm 1'!$B$2:$B$34</c:f>
              <c:numCache>
                <c:formatCode>General</c:formatCode>
                <c:ptCount val="33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  <c:pt idx="7">
                  <c:v>0.65</c:v>
                </c:pt>
                <c:pt idx="8">
                  <c:v>0.7</c:v>
                </c:pt>
                <c:pt idx="9">
                  <c:v>0.75</c:v>
                </c:pt>
                <c:pt idx="10">
                  <c:v>0.8</c:v>
                </c:pt>
                <c:pt idx="11">
                  <c:v>0.85</c:v>
                </c:pt>
                <c:pt idx="12">
                  <c:v>0.9</c:v>
                </c:pt>
                <c:pt idx="13">
                  <c:v>0.95</c:v>
                </c:pt>
                <c:pt idx="14">
                  <c:v>1</c:v>
                </c:pt>
                <c:pt idx="15">
                  <c:v>1.05</c:v>
                </c:pt>
                <c:pt idx="16">
                  <c:v>1.1000000000000001</c:v>
                </c:pt>
                <c:pt idx="17">
                  <c:v>1.1499999999999999</c:v>
                </c:pt>
                <c:pt idx="18">
                  <c:v>1.2</c:v>
                </c:pt>
                <c:pt idx="19">
                  <c:v>1.25</c:v>
                </c:pt>
                <c:pt idx="20">
                  <c:v>1.3</c:v>
                </c:pt>
                <c:pt idx="21">
                  <c:v>1.35</c:v>
                </c:pt>
                <c:pt idx="22">
                  <c:v>1.4</c:v>
                </c:pt>
                <c:pt idx="23">
                  <c:v>1.45</c:v>
                </c:pt>
                <c:pt idx="24">
                  <c:v>1.5</c:v>
                </c:pt>
                <c:pt idx="25">
                  <c:v>1.55</c:v>
                </c:pt>
                <c:pt idx="26">
                  <c:v>1.6</c:v>
                </c:pt>
                <c:pt idx="27">
                  <c:v>1.65</c:v>
                </c:pt>
                <c:pt idx="28">
                  <c:v>1.7</c:v>
                </c:pt>
                <c:pt idx="29">
                  <c:v>1.75</c:v>
                </c:pt>
                <c:pt idx="30">
                  <c:v>1.8</c:v>
                </c:pt>
                <c:pt idx="31">
                  <c:v>1.85</c:v>
                </c:pt>
                <c:pt idx="32">
                  <c:v>1.9</c:v>
                </c:pt>
              </c:numCache>
            </c:numRef>
          </c:xVal>
          <c:yVal>
            <c:numRef>
              <c:f>'Test arm 1'!$C$2:$C$34</c:f>
              <c:numCache>
                <c:formatCode>General</c:formatCode>
                <c:ptCount val="33"/>
                <c:pt idx="0">
                  <c:v>670.27</c:v>
                </c:pt>
                <c:pt idx="1">
                  <c:v>652.63</c:v>
                </c:pt>
                <c:pt idx="2">
                  <c:v>636.27</c:v>
                </c:pt>
                <c:pt idx="3">
                  <c:v>620.51</c:v>
                </c:pt>
                <c:pt idx="4">
                  <c:v>606.78</c:v>
                </c:pt>
                <c:pt idx="5">
                  <c:v>594.04999999999995</c:v>
                </c:pt>
                <c:pt idx="6">
                  <c:v>582.33000000000004</c:v>
                </c:pt>
                <c:pt idx="7">
                  <c:v>570.91999999999996</c:v>
                </c:pt>
                <c:pt idx="8">
                  <c:v>560.54</c:v>
                </c:pt>
                <c:pt idx="9">
                  <c:v>551.21</c:v>
                </c:pt>
                <c:pt idx="10">
                  <c:v>542.21</c:v>
                </c:pt>
                <c:pt idx="11">
                  <c:v>533.17999999999995</c:v>
                </c:pt>
                <c:pt idx="12">
                  <c:v>525.58000000000004</c:v>
                </c:pt>
                <c:pt idx="13">
                  <c:v>517.96</c:v>
                </c:pt>
                <c:pt idx="14">
                  <c:v>511.05</c:v>
                </c:pt>
                <c:pt idx="15">
                  <c:v>504.13</c:v>
                </c:pt>
                <c:pt idx="16">
                  <c:v>497.92</c:v>
                </c:pt>
                <c:pt idx="17">
                  <c:v>491.71</c:v>
                </c:pt>
                <c:pt idx="18">
                  <c:v>485.84</c:v>
                </c:pt>
                <c:pt idx="19">
                  <c:v>480.34</c:v>
                </c:pt>
                <c:pt idx="20">
                  <c:v>475.19</c:v>
                </c:pt>
                <c:pt idx="21">
                  <c:v>470.04</c:v>
                </c:pt>
                <c:pt idx="22">
                  <c:v>465.61</c:v>
                </c:pt>
                <c:pt idx="23">
                  <c:v>460.82</c:v>
                </c:pt>
                <c:pt idx="24">
                  <c:v>456.75</c:v>
                </c:pt>
                <c:pt idx="25">
                  <c:v>452.68</c:v>
                </c:pt>
                <c:pt idx="26">
                  <c:v>448.61</c:v>
                </c:pt>
                <c:pt idx="27">
                  <c:v>444.54</c:v>
                </c:pt>
                <c:pt idx="28">
                  <c:v>441.19</c:v>
                </c:pt>
                <c:pt idx="29">
                  <c:v>437.47</c:v>
                </c:pt>
                <c:pt idx="30">
                  <c:v>434.12</c:v>
                </c:pt>
                <c:pt idx="31">
                  <c:v>430.77</c:v>
                </c:pt>
                <c:pt idx="32">
                  <c:v>427.79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8-4B39-9019-24FD6C811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63688"/>
        <c:axId val="288155192"/>
      </c:scatterChart>
      <c:valAx>
        <c:axId val="2923636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Scale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155192"/>
        <c:crosses val="autoZero"/>
        <c:crossBetween val="midCat"/>
      </c:valAx>
      <c:valAx>
        <c:axId val="288155192"/>
        <c:scaling>
          <c:orientation val="minMax"/>
          <c:min val="400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63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-0.18647812773403324"/>
                  <c:y val="8.3887795275590551E-2"/>
                </c:manualLayout>
              </c:layout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'Test Arm 1.1'!$A$2:$A$34</c:f>
              <c:numCache>
                <c:formatCode>General</c:formatCode>
                <c:ptCount val="33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  <c:pt idx="17">
                  <c:v>11.5</c:v>
                </c:pt>
                <c:pt idx="18">
                  <c:v>12</c:v>
                </c:pt>
                <c:pt idx="19">
                  <c:v>12.5</c:v>
                </c:pt>
                <c:pt idx="20">
                  <c:v>13</c:v>
                </c:pt>
                <c:pt idx="21">
                  <c:v>13.5</c:v>
                </c:pt>
                <c:pt idx="22">
                  <c:v>14</c:v>
                </c:pt>
                <c:pt idx="23">
                  <c:v>14.5</c:v>
                </c:pt>
                <c:pt idx="24">
                  <c:v>15</c:v>
                </c:pt>
                <c:pt idx="25">
                  <c:v>15.5</c:v>
                </c:pt>
                <c:pt idx="26">
                  <c:v>16</c:v>
                </c:pt>
                <c:pt idx="27">
                  <c:v>16.5</c:v>
                </c:pt>
                <c:pt idx="28">
                  <c:v>17</c:v>
                </c:pt>
                <c:pt idx="29">
                  <c:v>17.5</c:v>
                </c:pt>
                <c:pt idx="30">
                  <c:v>18</c:v>
                </c:pt>
                <c:pt idx="31">
                  <c:v>18.5</c:v>
                </c:pt>
                <c:pt idx="32">
                  <c:v>19</c:v>
                </c:pt>
              </c:numCache>
            </c:numRef>
          </c:xVal>
          <c:yVal>
            <c:numRef>
              <c:f>'Test Arm 1.1'!$H$2:$H$34</c:f>
              <c:numCache>
                <c:formatCode>General</c:formatCode>
                <c:ptCount val="33"/>
                <c:pt idx="0">
                  <c:v>1.3799999999999955</c:v>
                </c:pt>
                <c:pt idx="1">
                  <c:v>1.0399999999999636</c:v>
                </c:pt>
                <c:pt idx="2">
                  <c:v>0.70000000000004547</c:v>
                </c:pt>
                <c:pt idx="3">
                  <c:v>1.4099999999999682</c:v>
                </c:pt>
                <c:pt idx="4">
                  <c:v>1.7699999999999818</c:v>
                </c:pt>
                <c:pt idx="5">
                  <c:v>1.0600000000000591</c:v>
                </c:pt>
                <c:pt idx="6">
                  <c:v>0.70999999999992269</c:v>
                </c:pt>
                <c:pt idx="7">
                  <c:v>1.07000000000005</c:v>
                </c:pt>
                <c:pt idx="8">
                  <c:v>1.0800000000000409</c:v>
                </c:pt>
                <c:pt idx="9">
                  <c:v>0.7199999999999136</c:v>
                </c:pt>
                <c:pt idx="10">
                  <c:v>0.7199999999999136</c:v>
                </c:pt>
                <c:pt idx="11">
                  <c:v>1.4500000000000455</c:v>
                </c:pt>
                <c:pt idx="12">
                  <c:v>0.7299999999999045</c:v>
                </c:pt>
                <c:pt idx="13">
                  <c:v>0.73000000000001819</c:v>
                </c:pt>
                <c:pt idx="14">
                  <c:v>0.37000000000000455</c:v>
                </c:pt>
                <c:pt idx="15">
                  <c:v>0.73000000000001819</c:v>
                </c:pt>
                <c:pt idx="16">
                  <c:v>0.37000000000000455</c:v>
                </c:pt>
                <c:pt idx="17">
                  <c:v>0.36000000000001364</c:v>
                </c:pt>
                <c:pt idx="18">
                  <c:v>0.74000000000000909</c:v>
                </c:pt>
                <c:pt idx="19">
                  <c:v>0.73000000000001819</c:v>
                </c:pt>
                <c:pt idx="20">
                  <c:v>0.37000000000000455</c:v>
                </c:pt>
                <c:pt idx="21">
                  <c:v>0.72999999999996135</c:v>
                </c:pt>
                <c:pt idx="22">
                  <c:v>0</c:v>
                </c:pt>
                <c:pt idx="23">
                  <c:v>0.73000000000001819</c:v>
                </c:pt>
                <c:pt idx="24">
                  <c:v>0.37000000000000455</c:v>
                </c:pt>
                <c:pt idx="25">
                  <c:v>0.37000000000000455</c:v>
                </c:pt>
                <c:pt idx="26">
                  <c:v>0.37000000000000455</c:v>
                </c:pt>
                <c:pt idx="27">
                  <c:v>0.3599999999999568</c:v>
                </c:pt>
                <c:pt idx="28">
                  <c:v>0.37000000000000455</c:v>
                </c:pt>
                <c:pt idx="29">
                  <c:v>0.3699999999999477</c:v>
                </c:pt>
                <c:pt idx="30">
                  <c:v>0.37999999999999545</c:v>
                </c:pt>
                <c:pt idx="31">
                  <c:v>0.37999999999999545</c:v>
                </c:pt>
                <c:pt idx="32">
                  <c:v>0.37999999999999545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45-46CE-92A4-924ACF5A7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026031"/>
        <c:axId val="1676027279"/>
      </c:scatterChart>
      <c:valAx>
        <c:axId val="167602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27279"/>
        <c:crosses val="autoZero"/>
        <c:crossBetween val="midCat"/>
      </c:valAx>
      <c:valAx>
        <c:axId val="167602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2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'Test Arm 1.1'!$B$1</c:f>
              <c:strCache>
                <c:ptCount val="1"/>
                <c:pt idx="0">
                  <c:v>Wavelength cent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8.822069116360455E-2"/>
                  <c:y val="1.2675697417017504E-2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'Test Arm 1.1'!$A$2:$A$38</c:f>
              <c:numCache>
                <c:formatCode>General</c:formatCode>
                <c:ptCount val="37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  <c:pt idx="17">
                  <c:v>11.5</c:v>
                </c:pt>
                <c:pt idx="18">
                  <c:v>12</c:v>
                </c:pt>
                <c:pt idx="19">
                  <c:v>12.5</c:v>
                </c:pt>
                <c:pt idx="20">
                  <c:v>13</c:v>
                </c:pt>
                <c:pt idx="21">
                  <c:v>13.5</c:v>
                </c:pt>
                <c:pt idx="22">
                  <c:v>14</c:v>
                </c:pt>
                <c:pt idx="23">
                  <c:v>14.5</c:v>
                </c:pt>
                <c:pt idx="24">
                  <c:v>15</c:v>
                </c:pt>
                <c:pt idx="25">
                  <c:v>15.5</c:v>
                </c:pt>
                <c:pt idx="26">
                  <c:v>16</c:v>
                </c:pt>
                <c:pt idx="27">
                  <c:v>16.5</c:v>
                </c:pt>
                <c:pt idx="28">
                  <c:v>17</c:v>
                </c:pt>
                <c:pt idx="29">
                  <c:v>17.5</c:v>
                </c:pt>
                <c:pt idx="30">
                  <c:v>18</c:v>
                </c:pt>
                <c:pt idx="31">
                  <c:v>18.5</c:v>
                </c:pt>
                <c:pt idx="32">
                  <c:v>19</c:v>
                </c:pt>
              </c:numCache>
            </c:numRef>
          </c:xVal>
          <c:yVal>
            <c:numRef>
              <c:f>'Test Arm 1.1'!$B$2:$B$38</c:f>
              <c:numCache>
                <c:formatCode>General</c:formatCode>
                <c:ptCount val="37"/>
                <c:pt idx="0">
                  <c:v>671.65</c:v>
                </c:pt>
                <c:pt idx="1">
                  <c:v>653.66999999999996</c:v>
                </c:pt>
                <c:pt idx="2">
                  <c:v>636.97</c:v>
                </c:pt>
                <c:pt idx="3">
                  <c:v>621.91999999999996</c:v>
                </c:pt>
                <c:pt idx="4">
                  <c:v>608.54999999999995</c:v>
                </c:pt>
                <c:pt idx="5">
                  <c:v>595.11</c:v>
                </c:pt>
                <c:pt idx="6">
                  <c:v>583.04</c:v>
                </c:pt>
                <c:pt idx="7">
                  <c:v>571.99</c:v>
                </c:pt>
                <c:pt idx="8">
                  <c:v>561.62</c:v>
                </c:pt>
                <c:pt idx="9">
                  <c:v>551.92999999999995</c:v>
                </c:pt>
                <c:pt idx="10">
                  <c:v>542.92999999999995</c:v>
                </c:pt>
                <c:pt idx="11">
                  <c:v>534.63</c:v>
                </c:pt>
                <c:pt idx="12">
                  <c:v>526.30999999999995</c:v>
                </c:pt>
                <c:pt idx="13">
                  <c:v>518.69000000000005</c:v>
                </c:pt>
                <c:pt idx="14">
                  <c:v>511.42</c:v>
                </c:pt>
                <c:pt idx="15">
                  <c:v>504.86</c:v>
                </c:pt>
                <c:pt idx="16">
                  <c:v>498.29</c:v>
                </c:pt>
                <c:pt idx="17">
                  <c:v>492.07</c:v>
                </c:pt>
                <c:pt idx="18">
                  <c:v>486.58</c:v>
                </c:pt>
                <c:pt idx="19">
                  <c:v>481.07</c:v>
                </c:pt>
                <c:pt idx="20">
                  <c:v>475.56</c:v>
                </c:pt>
                <c:pt idx="21">
                  <c:v>470.77</c:v>
                </c:pt>
                <c:pt idx="22">
                  <c:v>465.61</c:v>
                </c:pt>
                <c:pt idx="23">
                  <c:v>461.55</c:v>
                </c:pt>
                <c:pt idx="24">
                  <c:v>457.12</c:v>
                </c:pt>
                <c:pt idx="25">
                  <c:v>453.05</c:v>
                </c:pt>
                <c:pt idx="26">
                  <c:v>448.98</c:v>
                </c:pt>
                <c:pt idx="27">
                  <c:v>444.9</c:v>
                </c:pt>
                <c:pt idx="28">
                  <c:v>441.56</c:v>
                </c:pt>
                <c:pt idx="29">
                  <c:v>437.84</c:v>
                </c:pt>
                <c:pt idx="30">
                  <c:v>434.5</c:v>
                </c:pt>
                <c:pt idx="31">
                  <c:v>431.15</c:v>
                </c:pt>
                <c:pt idx="32">
                  <c:v>428.17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04-4309-96B3-10FE67787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973727"/>
        <c:axId val="1652976223"/>
      </c:scatterChart>
      <c:valAx>
        <c:axId val="165297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76223"/>
        <c:crosses val="autoZero"/>
        <c:crossBetween val="midCat"/>
      </c:valAx>
      <c:valAx>
        <c:axId val="1652976223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73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'Lookup Arm 1'!$N$1</c:f>
              <c:strCache>
                <c:ptCount val="1"/>
                <c:pt idx="0">
                  <c:v>Difference</c:v>
                </c:pt>
              </c:strCache>
            </c:strRef>
          </c:tx>
          <c:spPr>
            <a:ln w="127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5.8966984925893827E-2"/>
                  <c:y val="0.1093076015091406"/>
                </c:manualLayout>
              </c:layout>
              <c:numFmt formatCode="#,##0.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'Lookup Arm 1'!$L$42:$L$362</c:f>
              <c:numCache>
                <c:formatCode>General</c:formatCode>
                <c:ptCount val="321"/>
                <c:pt idx="0">
                  <c:v>669.88414260000002</c:v>
                </c:pt>
                <c:pt idx="1">
                  <c:v>668.08070014415557</c:v>
                </c:pt>
                <c:pt idx="2">
                  <c:v>666.29057463829008</c:v>
                </c:pt>
                <c:pt idx="3">
                  <c:v>664.51367199300569</c:v>
                </c:pt>
                <c:pt idx="4">
                  <c:v>662.74989850303996</c:v>
                </c:pt>
                <c:pt idx="5">
                  <c:v>660.99916084726567</c:v>
                </c:pt>
                <c:pt idx="6">
                  <c:v>659.26136608869001</c:v>
                </c:pt>
                <c:pt idx="7">
                  <c:v>657.5364216744556</c:v>
                </c:pt>
                <c:pt idx="8">
                  <c:v>655.82423543584002</c:v>
                </c:pt>
                <c:pt idx="9">
                  <c:v>654.12471558825564</c:v>
                </c:pt>
                <c:pt idx="10">
                  <c:v>652.43777073125</c:v>
                </c:pt>
                <c:pt idx="11">
                  <c:v>650.76330984850563</c:v>
                </c:pt>
                <c:pt idx="12">
                  <c:v>649.10124230784004</c:v>
                </c:pt>
                <c:pt idx="13">
                  <c:v>647.4514778612056</c:v>
                </c:pt>
                <c:pt idx="14">
                  <c:v>645.81392664469001</c:v>
                </c:pt>
                <c:pt idx="15">
                  <c:v>644.18849917851571</c:v>
                </c:pt>
                <c:pt idx="16">
                  <c:v>642.57510636704001</c:v>
                </c:pt>
                <c:pt idx="17">
                  <c:v>640.97365949875564</c:v>
                </c:pt>
                <c:pt idx="18">
                  <c:v>639.38407024628998</c:v>
                </c:pt>
                <c:pt idx="19">
                  <c:v>637.80625066640562</c:v>
                </c:pt>
                <c:pt idx="20">
                  <c:v>636.2401132</c:v>
                </c:pt>
                <c:pt idx="21">
                  <c:v>634.68557067210565</c:v>
                </c:pt>
                <c:pt idx="22">
                  <c:v>633.14253629189</c:v>
                </c:pt>
                <c:pt idx="23">
                  <c:v>631.61092365265563</c:v>
                </c:pt>
                <c:pt idx="24">
                  <c:v>630.09064673184002</c:v>
                </c:pt>
                <c:pt idx="25">
                  <c:v>628.58161989101563</c:v>
                </c:pt>
                <c:pt idx="26">
                  <c:v>627.08375787589</c:v>
                </c:pt>
                <c:pt idx="27">
                  <c:v>625.59697581630564</c:v>
                </c:pt>
                <c:pt idx="28">
                  <c:v>624.12118922623995</c:v>
                </c:pt>
                <c:pt idx="29">
                  <c:v>622.65631400380585</c:v>
                </c:pt>
                <c:pt idx="30">
                  <c:v>621.20226643125034</c:v>
                </c:pt>
                <c:pt idx="31">
                  <c:v>619.75896317495585</c:v>
                </c:pt>
                <c:pt idx="32">
                  <c:v>618.32632128544037</c:v>
                </c:pt>
                <c:pt idx="33">
                  <c:v>616.90425819735594</c:v>
                </c:pt>
                <c:pt idx="34">
                  <c:v>615.49269172949028</c:v>
                </c:pt>
                <c:pt idx="35">
                  <c:v>614.09154008476594</c:v>
                </c:pt>
                <c:pt idx="36">
                  <c:v>612.70072185024026</c:v>
                </c:pt>
                <c:pt idx="37">
                  <c:v>611.32015599710599</c:v>
                </c:pt>
                <c:pt idx="38">
                  <c:v>609.94976188069029</c:v>
                </c:pt>
                <c:pt idx="39">
                  <c:v>608.58945924045588</c:v>
                </c:pt>
                <c:pt idx="40">
                  <c:v>607.23916820000022</c:v>
                </c:pt>
                <c:pt idx="41">
                  <c:v>605.89880926705587</c:v>
                </c:pt>
                <c:pt idx="42">
                  <c:v>604.56830333349035</c:v>
                </c:pt>
                <c:pt idx="43">
                  <c:v>603.24757167530584</c:v>
                </c:pt>
                <c:pt idx="44">
                  <c:v>601.93653595264027</c:v>
                </c:pt>
                <c:pt idx="45">
                  <c:v>600.63511820976589</c:v>
                </c:pt>
                <c:pt idx="46">
                  <c:v>599.34324087509026</c:v>
                </c:pt>
                <c:pt idx="47">
                  <c:v>598.06082676115591</c:v>
                </c:pt>
                <c:pt idx="48">
                  <c:v>596.78779906464024</c:v>
                </c:pt>
                <c:pt idx="49">
                  <c:v>595.52408136635586</c:v>
                </c:pt>
                <c:pt idx="50">
                  <c:v>594.26959763125024</c:v>
                </c:pt>
                <c:pt idx="51">
                  <c:v>593.02427220840582</c:v>
                </c:pt>
                <c:pt idx="52">
                  <c:v>591.78802983104026</c:v>
                </c:pt>
                <c:pt idx="53">
                  <c:v>590.56079561650586</c:v>
                </c:pt>
                <c:pt idx="54">
                  <c:v>589.34249506629021</c:v>
                </c:pt>
                <c:pt idx="55">
                  <c:v>588.13305406601592</c:v>
                </c:pt>
                <c:pt idx="56">
                  <c:v>586.93239888544031</c:v>
                </c:pt>
                <c:pt idx="57">
                  <c:v>585.74045617845593</c:v>
                </c:pt>
                <c:pt idx="58">
                  <c:v>584.55715298309019</c:v>
                </c:pt>
                <c:pt idx="59">
                  <c:v>583.38241672150593</c:v>
                </c:pt>
                <c:pt idx="60">
                  <c:v>582.21617520000018</c:v>
                </c:pt>
                <c:pt idx="61">
                  <c:v>581.05835660900584</c:v>
                </c:pt>
                <c:pt idx="62">
                  <c:v>579.90888952309024</c:v>
                </c:pt>
                <c:pt idx="63">
                  <c:v>578.7677029009559</c:v>
                </c:pt>
                <c:pt idx="64">
                  <c:v>577.63472608544021</c:v>
                </c:pt>
                <c:pt idx="65">
                  <c:v>576.50988880351588</c:v>
                </c:pt>
                <c:pt idx="66">
                  <c:v>575.39312116629026</c:v>
                </c:pt>
                <c:pt idx="67">
                  <c:v>574.2843536690059</c:v>
                </c:pt>
                <c:pt idx="68">
                  <c:v>573.18351719104021</c:v>
                </c:pt>
                <c:pt idx="69">
                  <c:v>572.09054299590582</c:v>
                </c:pt>
                <c:pt idx="70">
                  <c:v>571.00536273125022</c:v>
                </c:pt>
                <c:pt idx="71">
                  <c:v>569.92790842885586</c:v>
                </c:pt>
                <c:pt idx="72">
                  <c:v>568.8581125046403</c:v>
                </c:pt>
                <c:pt idx="73">
                  <c:v>567.79590775865586</c:v>
                </c:pt>
                <c:pt idx="74">
                  <c:v>566.74122737509015</c:v>
                </c:pt>
                <c:pt idx="75">
                  <c:v>565.69400492226578</c:v>
                </c:pt>
                <c:pt idx="76">
                  <c:v>564.65417435264021</c:v>
                </c:pt>
                <c:pt idx="77">
                  <c:v>563.6216700028059</c:v>
                </c:pt>
                <c:pt idx="78">
                  <c:v>562.59642659349026</c:v>
                </c:pt>
                <c:pt idx="79">
                  <c:v>561.57837922955582</c:v>
                </c:pt>
                <c:pt idx="80">
                  <c:v>560.56746340000018</c:v>
                </c:pt>
                <c:pt idx="81">
                  <c:v>559.56361497795581</c:v>
                </c:pt>
                <c:pt idx="82">
                  <c:v>558.56677022069016</c:v>
                </c:pt>
                <c:pt idx="83">
                  <c:v>557.57686576960577</c:v>
                </c:pt>
                <c:pt idx="84">
                  <c:v>556.59383865024017</c:v>
                </c:pt>
                <c:pt idx="85">
                  <c:v>555.61762627226608</c:v>
                </c:pt>
                <c:pt idx="86">
                  <c:v>554.6481664294904</c:v>
                </c:pt>
                <c:pt idx="87">
                  <c:v>553.68539729985605</c:v>
                </c:pt>
                <c:pt idx="88">
                  <c:v>552.72925744544034</c:v>
                </c:pt>
                <c:pt idx="89">
                  <c:v>551.77968581245602</c:v>
                </c:pt>
                <c:pt idx="90">
                  <c:v>550.83662173125037</c:v>
                </c:pt>
                <c:pt idx="91">
                  <c:v>549.90000491630599</c:v>
                </c:pt>
                <c:pt idx="92">
                  <c:v>548.96977546624043</c:v>
                </c:pt>
                <c:pt idx="93">
                  <c:v>548.04587386380604</c:v>
                </c:pt>
                <c:pt idx="94">
                  <c:v>547.12824097589044</c:v>
                </c:pt>
                <c:pt idx="95">
                  <c:v>546.21681805351602</c:v>
                </c:pt>
                <c:pt idx="96">
                  <c:v>545.31154673184039</c:v>
                </c:pt>
                <c:pt idx="97">
                  <c:v>544.41236903015601</c:v>
                </c:pt>
                <c:pt idx="98">
                  <c:v>543.51922735189032</c:v>
                </c:pt>
                <c:pt idx="99">
                  <c:v>542.63206448460596</c:v>
                </c:pt>
                <c:pt idx="100">
                  <c:v>541.75082360000033</c:v>
                </c:pt>
                <c:pt idx="101">
                  <c:v>540.87544825390592</c:v>
                </c:pt>
                <c:pt idx="102">
                  <c:v>540.0058823862903</c:v>
                </c:pt>
                <c:pt idx="103">
                  <c:v>539.14207032125591</c:v>
                </c:pt>
                <c:pt idx="104">
                  <c:v>538.28395676704031</c:v>
                </c:pt>
                <c:pt idx="105">
                  <c:v>537.43148681601599</c:v>
                </c:pt>
                <c:pt idx="106">
                  <c:v>536.58460594469034</c:v>
                </c:pt>
                <c:pt idx="107">
                  <c:v>535.74326001370594</c:v>
                </c:pt>
                <c:pt idx="108">
                  <c:v>534.90739526784023</c:v>
                </c:pt>
                <c:pt idx="109">
                  <c:v>534.07695833600599</c:v>
                </c:pt>
                <c:pt idx="110">
                  <c:v>533.25189623125038</c:v>
                </c:pt>
                <c:pt idx="111">
                  <c:v>532.43215635075603</c:v>
                </c:pt>
                <c:pt idx="112">
                  <c:v>531.6176864758404</c:v>
                </c:pt>
                <c:pt idx="113">
                  <c:v>530.80843477195594</c:v>
                </c:pt>
                <c:pt idx="114">
                  <c:v>530.00434978869032</c:v>
                </c:pt>
                <c:pt idx="115">
                  <c:v>529.20538045976593</c:v>
                </c:pt>
                <c:pt idx="116">
                  <c:v>528.4114761030404</c:v>
                </c:pt>
                <c:pt idx="117">
                  <c:v>527.62258642050597</c:v>
                </c:pt>
                <c:pt idx="118">
                  <c:v>526.83866149829032</c:v>
                </c:pt>
                <c:pt idx="119">
                  <c:v>526.05965180665601</c:v>
                </c:pt>
                <c:pt idx="120">
                  <c:v>525.28550820000032</c:v>
                </c:pt>
                <c:pt idx="121">
                  <c:v>524.51618191685588</c:v>
                </c:pt>
                <c:pt idx="122">
                  <c:v>523.75162457989029</c:v>
                </c:pt>
                <c:pt idx="123">
                  <c:v>522.991788195906</c:v>
                </c:pt>
                <c:pt idx="124">
                  <c:v>522.23662515584033</c:v>
                </c:pt>
                <c:pt idx="125">
                  <c:v>521.48608823476593</c:v>
                </c:pt>
                <c:pt idx="126">
                  <c:v>520.74013059189019</c:v>
                </c:pt>
                <c:pt idx="127">
                  <c:v>519.99870577055594</c:v>
                </c:pt>
                <c:pt idx="128">
                  <c:v>519.26176769824042</c:v>
                </c:pt>
                <c:pt idx="129">
                  <c:v>518.52927068655595</c:v>
                </c:pt>
                <c:pt idx="130">
                  <c:v>517.80116943125029</c:v>
                </c:pt>
                <c:pt idx="131">
                  <c:v>517.07741901220584</c:v>
                </c:pt>
                <c:pt idx="132">
                  <c:v>516.35797489344031</c:v>
                </c:pt>
                <c:pt idx="133">
                  <c:v>515.64279292310596</c:v>
                </c:pt>
                <c:pt idx="134">
                  <c:v>514.93182933349033</c:v>
                </c:pt>
                <c:pt idx="135">
                  <c:v>514.22504074101585</c:v>
                </c:pt>
                <c:pt idx="136">
                  <c:v>513.52238414624026</c:v>
                </c:pt>
                <c:pt idx="137">
                  <c:v>512.82381693385582</c:v>
                </c:pt>
                <c:pt idx="138">
                  <c:v>512.12929687269025</c:v>
                </c:pt>
                <c:pt idx="139">
                  <c:v>511.43878211570598</c:v>
                </c:pt>
                <c:pt idx="140">
                  <c:v>510.75223120000027</c:v>
                </c:pt>
                <c:pt idx="141">
                  <c:v>510.0696030468057</c:v>
                </c:pt>
                <c:pt idx="142">
                  <c:v>509.39085696149004</c:v>
                </c:pt>
                <c:pt idx="143">
                  <c:v>508.71595263355562</c:v>
                </c:pt>
                <c:pt idx="144">
                  <c:v>508.04485013664004</c:v>
                </c:pt>
                <c:pt idx="145">
                  <c:v>507.37750992851556</c:v>
                </c:pt>
                <c:pt idx="146">
                  <c:v>506.71389285109001</c:v>
                </c:pt>
                <c:pt idx="147">
                  <c:v>506.0539601304057</c:v>
                </c:pt>
                <c:pt idx="148">
                  <c:v>505.39767337664</c:v>
                </c:pt>
                <c:pt idx="149">
                  <c:v>504.7449945841056</c:v>
                </c:pt>
                <c:pt idx="150">
                  <c:v>504.09588613124998</c:v>
                </c:pt>
                <c:pt idx="151">
                  <c:v>503.45031078065563</c:v>
                </c:pt>
                <c:pt idx="152">
                  <c:v>502.80823167904009</c:v>
                </c:pt>
                <c:pt idx="153">
                  <c:v>502.16961235725569</c:v>
                </c:pt>
                <c:pt idx="154">
                  <c:v>501.53441673028999</c:v>
                </c:pt>
                <c:pt idx="155">
                  <c:v>500.90260909726555</c:v>
                </c:pt>
                <c:pt idx="156">
                  <c:v>500.27415414144002</c:v>
                </c:pt>
                <c:pt idx="157">
                  <c:v>499.64901693020568</c:v>
                </c:pt>
                <c:pt idx="158">
                  <c:v>499.02716291509</c:v>
                </c:pt>
                <c:pt idx="159">
                  <c:v>498.40855793175564</c:v>
                </c:pt>
                <c:pt idx="160">
                  <c:v>497.79316819999997</c:v>
                </c:pt>
                <c:pt idx="161">
                  <c:v>497.1809603237557</c:v>
                </c:pt>
                <c:pt idx="162">
                  <c:v>496.57190129109006</c:v>
                </c:pt>
                <c:pt idx="163">
                  <c:v>495.96595847420565</c:v>
                </c:pt>
                <c:pt idx="164">
                  <c:v>495.36309962944006</c:v>
                </c:pt>
                <c:pt idx="165">
                  <c:v>494.76329289726556</c:v>
                </c:pt>
                <c:pt idx="166">
                  <c:v>494.16650680229009</c:v>
                </c:pt>
                <c:pt idx="167">
                  <c:v>493.57271025325565</c:v>
                </c:pt>
                <c:pt idx="168">
                  <c:v>492.98187254304003</c:v>
                </c:pt>
                <c:pt idx="169">
                  <c:v>492.39396334865563</c:v>
                </c:pt>
                <c:pt idx="170">
                  <c:v>491.80895273124997</c:v>
                </c:pt>
                <c:pt idx="171">
                  <c:v>491.22681113610565</c:v>
                </c:pt>
                <c:pt idx="172">
                  <c:v>490.64750939264013</c:v>
                </c:pt>
                <c:pt idx="173">
                  <c:v>490.07101871440557</c:v>
                </c:pt>
                <c:pt idx="174">
                  <c:v>489.49731069909001</c:v>
                </c:pt>
                <c:pt idx="175">
                  <c:v>488.92635732851562</c:v>
                </c:pt>
                <c:pt idx="176">
                  <c:v>488.35813096864007</c:v>
                </c:pt>
                <c:pt idx="177">
                  <c:v>487.79260436955565</c:v>
                </c:pt>
                <c:pt idx="178">
                  <c:v>487.22975066549003</c:v>
                </c:pt>
                <c:pt idx="179">
                  <c:v>486.66954337480564</c:v>
                </c:pt>
                <c:pt idx="180">
                  <c:v>486.11195639999994</c:v>
                </c:pt>
                <c:pt idx="181">
                  <c:v>485.55696402770548</c:v>
                </c:pt>
                <c:pt idx="182">
                  <c:v>485.00454092869006</c:v>
                </c:pt>
                <c:pt idx="183">
                  <c:v>484.45466215785558</c:v>
                </c:pt>
                <c:pt idx="184">
                  <c:v>483.90730315424003</c:v>
                </c:pt>
                <c:pt idx="185">
                  <c:v>483.36243974101558</c:v>
                </c:pt>
                <c:pt idx="186">
                  <c:v>482.82004812548996</c:v>
                </c:pt>
                <c:pt idx="187">
                  <c:v>482.28010489910571</c:v>
                </c:pt>
                <c:pt idx="188">
                  <c:v>481.7425870374401</c:v>
                </c:pt>
                <c:pt idx="189">
                  <c:v>481.20747190020563</c:v>
                </c:pt>
                <c:pt idx="190">
                  <c:v>480.67473723124994</c:v>
                </c:pt>
                <c:pt idx="191">
                  <c:v>480.14436115855563</c:v>
                </c:pt>
                <c:pt idx="192">
                  <c:v>479.61632219424007</c:v>
                </c:pt>
                <c:pt idx="193">
                  <c:v>479.09059923455561</c:v>
                </c:pt>
                <c:pt idx="194">
                  <c:v>478.56717155989003</c:v>
                </c:pt>
                <c:pt idx="195">
                  <c:v>478.04601883476562</c:v>
                </c:pt>
                <c:pt idx="196">
                  <c:v>477.52712110784006</c:v>
                </c:pt>
                <c:pt idx="197">
                  <c:v>477.01045881190572</c:v>
                </c:pt>
                <c:pt idx="198">
                  <c:v>476.49601276388995</c:v>
                </c:pt>
                <c:pt idx="199">
                  <c:v>475.98376416485564</c:v>
                </c:pt>
                <c:pt idx="200">
                  <c:v>475.47369460000004</c:v>
                </c:pt>
                <c:pt idx="201">
                  <c:v>474.96578603865549</c:v>
                </c:pt>
                <c:pt idx="202">
                  <c:v>474.46002083428999</c:v>
                </c:pt>
                <c:pt idx="203">
                  <c:v>473.95638172450566</c:v>
                </c:pt>
                <c:pt idx="204">
                  <c:v>473.45485183104006</c:v>
                </c:pt>
                <c:pt idx="205">
                  <c:v>472.95541465976561</c:v>
                </c:pt>
                <c:pt idx="206">
                  <c:v>472.45805410068999</c:v>
                </c:pt>
                <c:pt idx="207">
                  <c:v>471.9627544279557</c:v>
                </c:pt>
                <c:pt idx="208">
                  <c:v>471.46950029983998</c:v>
                </c:pt>
                <c:pt idx="209">
                  <c:v>470.97827675875561</c:v>
                </c:pt>
                <c:pt idx="210">
                  <c:v>470.48906923125003</c:v>
                </c:pt>
                <c:pt idx="211">
                  <c:v>470.00186352800563</c:v>
                </c:pt>
                <c:pt idx="212">
                  <c:v>469.51664584384002</c:v>
                </c:pt>
                <c:pt idx="213">
                  <c:v>469.03340275770574</c:v>
                </c:pt>
                <c:pt idx="214">
                  <c:v>468.55212123269007</c:v>
                </c:pt>
                <c:pt idx="215">
                  <c:v>468.0727886160156</c:v>
                </c:pt>
                <c:pt idx="216">
                  <c:v>467.59539263903991</c:v>
                </c:pt>
                <c:pt idx="217">
                  <c:v>467.11992141725568</c:v>
                </c:pt>
                <c:pt idx="218">
                  <c:v>466.64636345029004</c:v>
                </c:pt>
                <c:pt idx="219">
                  <c:v>466.17470762190567</c:v>
                </c:pt>
                <c:pt idx="220">
                  <c:v>465.70494320000006</c:v>
                </c:pt>
                <c:pt idx="221">
                  <c:v>465.23705983660557</c:v>
                </c:pt>
                <c:pt idx="222">
                  <c:v>464.77104756789004</c:v>
                </c:pt>
                <c:pt idx="223">
                  <c:v>464.30689681415561</c:v>
                </c:pt>
                <c:pt idx="224">
                  <c:v>463.84459837984014</c:v>
                </c:pt>
                <c:pt idx="225">
                  <c:v>463.38414345351561</c:v>
                </c:pt>
                <c:pt idx="226">
                  <c:v>462.92552360788989</c:v>
                </c:pt>
                <c:pt idx="227">
                  <c:v>462.46873079980554</c:v>
                </c:pt>
                <c:pt idx="228">
                  <c:v>462.01375737024011</c:v>
                </c:pt>
                <c:pt idx="229">
                  <c:v>461.56059604430567</c:v>
                </c:pt>
                <c:pt idx="230">
                  <c:v>461.10923993125004</c:v>
                </c:pt>
                <c:pt idx="231">
                  <c:v>460.65968252445566</c:v>
                </c:pt>
                <c:pt idx="232">
                  <c:v>460.21191770143992</c:v>
                </c:pt>
                <c:pt idx="233">
                  <c:v>459.76593972385569</c:v>
                </c:pt>
                <c:pt idx="234">
                  <c:v>459.32174323749001</c:v>
                </c:pt>
                <c:pt idx="235">
                  <c:v>458.87932327226565</c:v>
                </c:pt>
                <c:pt idx="236">
                  <c:v>458.43867524223998</c:v>
                </c:pt>
                <c:pt idx="237">
                  <c:v>457.99979494560557</c:v>
                </c:pt>
                <c:pt idx="238">
                  <c:v>457.56267856468997</c:v>
                </c:pt>
                <c:pt idx="239">
                  <c:v>457.12732266595572</c:v>
                </c:pt>
                <c:pt idx="240">
                  <c:v>456.69372420000002</c:v>
                </c:pt>
                <c:pt idx="241">
                  <c:v>456.26188050155565</c:v>
                </c:pt>
                <c:pt idx="242">
                  <c:v>455.83178928948996</c:v>
                </c:pt>
                <c:pt idx="243">
                  <c:v>455.40344866680579</c:v>
                </c:pt>
                <c:pt idx="244">
                  <c:v>454.97685712064003</c:v>
                </c:pt>
                <c:pt idx="245">
                  <c:v>454.55201352226572</c:v>
                </c:pt>
                <c:pt idx="246">
                  <c:v>454.12891712708995</c:v>
                </c:pt>
                <c:pt idx="247">
                  <c:v>453.70756757465563</c:v>
                </c:pt>
                <c:pt idx="248">
                  <c:v>453.28796488864009</c:v>
                </c:pt>
                <c:pt idx="249">
                  <c:v>452.87010947685565</c:v>
                </c:pt>
                <c:pt idx="250">
                  <c:v>452.45400213125004</c:v>
                </c:pt>
                <c:pt idx="251">
                  <c:v>452.03964402790564</c:v>
                </c:pt>
                <c:pt idx="252">
                  <c:v>451.62703672704004</c:v>
                </c:pt>
                <c:pt idx="253">
                  <c:v>451.21618217300568</c:v>
                </c:pt>
                <c:pt idx="254">
                  <c:v>450.80708269428999</c:v>
                </c:pt>
                <c:pt idx="255">
                  <c:v>450.39974100351571</c:v>
                </c:pt>
                <c:pt idx="256">
                  <c:v>449.9941601974399</c:v>
                </c:pt>
                <c:pt idx="257">
                  <c:v>449.59034375695569</c:v>
                </c:pt>
                <c:pt idx="258">
                  <c:v>449.18829554708998</c:v>
                </c:pt>
                <c:pt idx="259">
                  <c:v>448.78801981700565</c:v>
                </c:pt>
                <c:pt idx="260">
                  <c:v>448.38952119999999</c:v>
                </c:pt>
                <c:pt idx="261">
                  <c:v>447.99280471350562</c:v>
                </c:pt>
                <c:pt idx="262">
                  <c:v>447.5978757590899</c:v>
                </c:pt>
                <c:pt idx="263">
                  <c:v>447.20474012245563</c:v>
                </c:pt>
                <c:pt idx="264">
                  <c:v>446.81340397344013</c:v>
                </c:pt>
                <c:pt idx="265">
                  <c:v>446.4238738660157</c:v>
                </c:pt>
                <c:pt idx="266">
                  <c:v>446.03615673828983</c:v>
                </c:pt>
                <c:pt idx="267">
                  <c:v>445.65025991250548</c:v>
                </c:pt>
                <c:pt idx="268">
                  <c:v>445.26619109504009</c:v>
                </c:pt>
                <c:pt idx="269">
                  <c:v>444.88395837640564</c:v>
                </c:pt>
                <c:pt idx="270">
                  <c:v>444.50357023124991</c:v>
                </c:pt>
                <c:pt idx="271">
                  <c:v>444.12503551835562</c:v>
                </c:pt>
                <c:pt idx="272">
                  <c:v>443.74836348064002</c:v>
                </c:pt>
                <c:pt idx="273">
                  <c:v>443.37356374515571</c:v>
                </c:pt>
                <c:pt idx="274">
                  <c:v>443.00064632309</c:v>
                </c:pt>
                <c:pt idx="275">
                  <c:v>442.62962160976576</c:v>
                </c:pt>
                <c:pt idx="276">
                  <c:v>442.26050038463995</c:v>
                </c:pt>
                <c:pt idx="277">
                  <c:v>441.89329381130563</c:v>
                </c:pt>
                <c:pt idx="278">
                  <c:v>441.5280134374899</c:v>
                </c:pt>
                <c:pt idx="279">
                  <c:v>441.16467119505626</c:v>
                </c:pt>
                <c:pt idx="280">
                  <c:v>440.80327939999995</c:v>
                </c:pt>
                <c:pt idx="281">
                  <c:v>440.44385075245577</c:v>
                </c:pt>
                <c:pt idx="282">
                  <c:v>440.08639833669065</c:v>
                </c:pt>
                <c:pt idx="283">
                  <c:v>439.73093562110625</c:v>
                </c:pt>
                <c:pt idx="284">
                  <c:v>439.37747645824072</c:v>
                </c:pt>
                <c:pt idx="285">
                  <c:v>439.02603508476579</c:v>
                </c:pt>
                <c:pt idx="286">
                  <c:v>438.67662612149093</c:v>
                </c:pt>
                <c:pt idx="287">
                  <c:v>438.32926457335623</c:v>
                </c:pt>
                <c:pt idx="288">
                  <c:v>437.98396582944065</c:v>
                </c:pt>
                <c:pt idx="289">
                  <c:v>437.64074566295642</c:v>
                </c:pt>
                <c:pt idx="290">
                  <c:v>437.29962023125074</c:v>
                </c:pt>
                <c:pt idx="291">
                  <c:v>436.96060607580625</c:v>
                </c:pt>
                <c:pt idx="292">
                  <c:v>436.62372012224068</c:v>
                </c:pt>
                <c:pt idx="293">
                  <c:v>436.28897968030628</c:v>
                </c:pt>
                <c:pt idx="294">
                  <c:v>435.95640244389074</c:v>
                </c:pt>
                <c:pt idx="295">
                  <c:v>435.62600649101637</c:v>
                </c:pt>
                <c:pt idx="296">
                  <c:v>435.29781028384059</c:v>
                </c:pt>
                <c:pt idx="297">
                  <c:v>434.97183266865625</c:v>
                </c:pt>
                <c:pt idx="298">
                  <c:v>434.6480928758906</c:v>
                </c:pt>
                <c:pt idx="299">
                  <c:v>434.32661052010633</c:v>
                </c:pt>
                <c:pt idx="300">
                  <c:v>434.00740560000065</c:v>
                </c:pt>
                <c:pt idx="301">
                  <c:v>433.69049849840633</c:v>
                </c:pt>
                <c:pt idx="302">
                  <c:v>433.37590998229086</c:v>
                </c:pt>
                <c:pt idx="303">
                  <c:v>433.06366120275629</c:v>
                </c:pt>
                <c:pt idx="304">
                  <c:v>432.75377369504076</c:v>
                </c:pt>
                <c:pt idx="305">
                  <c:v>432.44626937851626</c:v>
                </c:pt>
                <c:pt idx="306">
                  <c:v>432.14117055669078</c:v>
                </c:pt>
                <c:pt idx="307">
                  <c:v>431.83849991720615</c:v>
                </c:pt>
                <c:pt idx="308">
                  <c:v>431.53828053184077</c:v>
                </c:pt>
                <c:pt idx="309">
                  <c:v>431.2405358565062</c:v>
                </c:pt>
                <c:pt idx="310">
                  <c:v>430.94528973125068</c:v>
                </c:pt>
                <c:pt idx="311">
                  <c:v>430.65256638025619</c:v>
                </c:pt>
                <c:pt idx="312">
                  <c:v>430.36239041184069</c:v>
                </c:pt>
                <c:pt idx="313">
                  <c:v>430.07478681845612</c:v>
                </c:pt>
                <c:pt idx="314">
                  <c:v>429.78978097669051</c:v>
                </c:pt>
                <c:pt idx="315">
                  <c:v>429.50739864726609</c:v>
                </c:pt>
                <c:pt idx="316">
                  <c:v>429.22766597504051</c:v>
                </c:pt>
                <c:pt idx="317">
                  <c:v>428.95060948900618</c:v>
                </c:pt>
                <c:pt idx="318">
                  <c:v>428.67625610229049</c:v>
                </c:pt>
                <c:pt idx="319">
                  <c:v>428.40463311215615</c:v>
                </c:pt>
                <c:pt idx="320">
                  <c:v>428.13576820000083</c:v>
                </c:pt>
              </c:numCache>
            </c:numRef>
          </c:xVal>
          <c:yVal>
            <c:numRef>
              <c:f>'Lookup Arm 1'!$N$42:$N$362</c:f>
              <c:numCache>
                <c:formatCode>General</c:formatCode>
                <c:ptCount val="321"/>
                <c:pt idx="0">
                  <c:v>1.1923814000000448</c:v>
                </c:pt>
                <c:pt idx="1">
                  <c:v>1.1940416433694736</c:v>
                </c:pt>
                <c:pt idx="2">
                  <c:v>1.1955451161099973</c:v>
                </c:pt>
                <c:pt idx="3">
                  <c:v>1.1968939435192851</c:v>
                </c:pt>
                <c:pt idx="4">
                  <c:v>1.1980902393601127</c:v>
                </c:pt>
                <c:pt idx="5">
                  <c:v>1.1991361058593384</c:v>
                </c:pt>
                <c:pt idx="6">
                  <c:v>1.2000336337100634</c:v>
                </c:pt>
                <c:pt idx="7">
                  <c:v>1.2007849020694721</c:v>
                </c:pt>
                <c:pt idx="8">
                  <c:v>1.201391978560082</c:v>
                </c:pt>
                <c:pt idx="9">
                  <c:v>1.2018569192694031</c:v>
                </c:pt>
                <c:pt idx="10">
                  <c:v>1.2021817687500516</c:v>
                </c:pt>
                <c:pt idx="11">
                  <c:v>1.2023685600194085</c:v>
                </c:pt>
                <c:pt idx="12">
                  <c:v>1.2024193145599611</c:v>
                </c:pt>
                <c:pt idx="13">
                  <c:v>1.2023360423194163</c:v>
                </c:pt>
                <c:pt idx="14">
                  <c:v>1.2021207417100186</c:v>
                </c:pt>
                <c:pt idx="15">
                  <c:v>1.2017753996093461</c:v>
                </c:pt>
                <c:pt idx="16">
                  <c:v>1.2013019913600829</c:v>
                </c:pt>
                <c:pt idx="17">
                  <c:v>1.2007024807693369</c:v>
                </c:pt>
                <c:pt idx="18">
                  <c:v>1.1999788201100046</c:v>
                </c:pt>
                <c:pt idx="19">
                  <c:v>1.1991329501194059</c:v>
                </c:pt>
                <c:pt idx="20">
                  <c:v>1.1981668000000809</c:v>
                </c:pt>
                <c:pt idx="21">
                  <c:v>1.1970822874194482</c:v>
                </c:pt>
                <c:pt idx="22">
                  <c:v>1.1958813185100325</c:v>
                </c:pt>
                <c:pt idx="23">
                  <c:v>1.194565787869351</c:v>
                </c:pt>
                <c:pt idx="24">
                  <c:v>1.1931375785600267</c:v>
                </c:pt>
                <c:pt idx="25">
                  <c:v>1.1915985621094478</c:v>
                </c:pt>
                <c:pt idx="26">
                  <c:v>1.1899505985101086</c:v>
                </c:pt>
                <c:pt idx="27">
                  <c:v>1.1881955362193821</c:v>
                </c:pt>
                <c:pt idx="28">
                  <c:v>1.1863352121600883</c:v>
                </c:pt>
                <c:pt idx="29">
                  <c:v>1.1843714517194712</c:v>
                </c:pt>
                <c:pt idx="30">
                  <c:v>1.1823060687499947</c:v>
                </c:pt>
                <c:pt idx="31">
                  <c:v>1.1801408655694559</c:v>
                </c:pt>
                <c:pt idx="32">
                  <c:v>1.1778776329599623</c:v>
                </c:pt>
                <c:pt idx="33">
                  <c:v>1.1755181501694096</c:v>
                </c:pt>
                <c:pt idx="34">
                  <c:v>1.1730641849100039</c:v>
                </c:pt>
                <c:pt idx="35">
                  <c:v>1.170517493359398</c:v>
                </c:pt>
                <c:pt idx="36">
                  <c:v>1.1678798201600102</c:v>
                </c:pt>
                <c:pt idx="37">
                  <c:v>1.1651528984193646</c:v>
                </c:pt>
                <c:pt idx="38">
                  <c:v>1.1623384497100915</c:v>
                </c:pt>
                <c:pt idx="39">
                  <c:v>1.1594381840693586</c:v>
                </c:pt>
                <c:pt idx="40">
                  <c:v>1.1564538000000084</c:v>
                </c:pt>
                <c:pt idx="41">
                  <c:v>1.1533869844694209</c:v>
                </c:pt>
                <c:pt idx="42">
                  <c:v>1.1502394129099685</c:v>
                </c:pt>
                <c:pt idx="43">
                  <c:v>1.1470127492194706</c:v>
                </c:pt>
                <c:pt idx="44">
                  <c:v>1.1437086457599435</c:v>
                </c:pt>
                <c:pt idx="45">
                  <c:v>1.1403287433594187</c:v>
                </c:pt>
                <c:pt idx="46">
                  <c:v>1.1368746713100109</c:v>
                </c:pt>
                <c:pt idx="47">
                  <c:v>1.1333480473693953</c:v>
                </c:pt>
                <c:pt idx="48">
                  <c:v>1.1297504777600125</c:v>
                </c:pt>
                <c:pt idx="49">
                  <c:v>1.1260835571694088</c:v>
                </c:pt>
                <c:pt idx="50">
                  <c:v>1.1223488687500094</c:v>
                </c:pt>
                <c:pt idx="51">
                  <c:v>1.1185479841194592</c:v>
                </c:pt>
                <c:pt idx="52">
                  <c:v>1.1146824633600545</c:v>
                </c:pt>
                <c:pt idx="53">
                  <c:v>1.1107538550194249</c:v>
                </c:pt>
                <c:pt idx="54">
                  <c:v>1.1067636961100789</c:v>
                </c:pt>
                <c:pt idx="55">
                  <c:v>1.1027135121094034</c:v>
                </c:pt>
                <c:pt idx="56">
                  <c:v>1.0986048169600053</c:v>
                </c:pt>
                <c:pt idx="57">
                  <c:v>1.0944391130693703</c:v>
                </c:pt>
                <c:pt idx="58">
                  <c:v>1.0902178913100897</c:v>
                </c:pt>
                <c:pt idx="59">
                  <c:v>1.0859426310194067</c:v>
                </c:pt>
                <c:pt idx="60">
                  <c:v>1.0816148000001249</c:v>
                </c:pt>
                <c:pt idx="61">
                  <c:v>1.077235854519472</c:v>
                </c:pt>
                <c:pt idx="62">
                  <c:v>1.0728072393100092</c:v>
                </c:pt>
                <c:pt idx="63">
                  <c:v>1.06833038756929</c:v>
                </c:pt>
                <c:pt idx="64">
                  <c:v>1.063806720959974</c:v>
                </c:pt>
                <c:pt idx="65">
                  <c:v>1.0592376496093721</c:v>
                </c:pt>
                <c:pt idx="66">
                  <c:v>1.0546245721100149</c:v>
                </c:pt>
                <c:pt idx="67">
                  <c:v>1.049968875519312</c:v>
                </c:pt>
                <c:pt idx="68">
                  <c:v>1.045271935360006</c:v>
                </c:pt>
                <c:pt idx="69">
                  <c:v>1.0405351156193774</c:v>
                </c:pt>
                <c:pt idx="70">
                  <c:v>1.0357597687500402</c:v>
                </c:pt>
                <c:pt idx="71">
                  <c:v>1.0309472356693732</c:v>
                </c:pt>
                <c:pt idx="72">
                  <c:v>1.0260988457599751</c:v>
                </c:pt>
                <c:pt idx="73">
                  <c:v>1.0212159168693233</c:v>
                </c:pt>
                <c:pt idx="74">
                  <c:v>1.016299755310115</c:v>
                </c:pt>
                <c:pt idx="75">
                  <c:v>1.0113516558594711</c:v>
                </c:pt>
                <c:pt idx="76">
                  <c:v>1.0063729017600735</c:v>
                </c:pt>
                <c:pt idx="77">
                  <c:v>1.0013647647193693</c:v>
                </c:pt>
                <c:pt idx="78">
                  <c:v>0.996328504910025</c:v>
                </c:pt>
                <c:pt idx="79">
                  <c:v>0.99126537096935863</c:v>
                </c:pt>
                <c:pt idx="80">
                  <c:v>0.98617660000013529</c:v>
                </c:pt>
                <c:pt idx="81">
                  <c:v>0.98106341756943038</c:v>
                </c:pt>
                <c:pt idx="82">
                  <c:v>0.97592703771010747</c:v>
                </c:pt>
                <c:pt idx="83">
                  <c:v>0.97076866291945407</c:v>
                </c:pt>
                <c:pt idx="84">
                  <c:v>0.96558948416009116</c:v>
                </c:pt>
                <c:pt idx="85">
                  <c:v>0.96039068085929102</c:v>
                </c:pt>
                <c:pt idx="86">
                  <c:v>0.95517342091000046</c:v>
                </c:pt>
                <c:pt idx="87">
                  <c:v>0.94993886066936284</c:v>
                </c:pt>
                <c:pt idx="88">
                  <c:v>0.94468814496008235</c:v>
                </c:pt>
                <c:pt idx="89">
                  <c:v>0.93942240706940083</c:v>
                </c:pt>
                <c:pt idx="90">
                  <c:v>0.93414276875012092</c:v>
                </c:pt>
                <c:pt idx="91">
                  <c:v>0.92885034021946922</c:v>
                </c:pt>
                <c:pt idx="92">
                  <c:v>0.92354622016000576</c:v>
                </c:pt>
                <c:pt idx="93">
                  <c:v>0.91823149571939666</c:v>
                </c:pt>
                <c:pt idx="94">
                  <c:v>0.91290724250995936</c:v>
                </c:pt>
                <c:pt idx="95">
                  <c:v>0.90757452460945842</c:v>
                </c:pt>
                <c:pt idx="96">
                  <c:v>0.90223439455996868</c:v>
                </c:pt>
                <c:pt idx="97">
                  <c:v>0.89688789336946684</c:v>
                </c:pt>
                <c:pt idx="98">
                  <c:v>0.8915360505100125</c:v>
                </c:pt>
                <c:pt idx="99">
                  <c:v>0.88617988391945346</c:v>
                </c:pt>
                <c:pt idx="100">
                  <c:v>0.88082040000006145</c:v>
                </c:pt>
                <c:pt idx="101">
                  <c:v>0.87545859361944167</c:v>
                </c:pt>
                <c:pt idx="102">
                  <c:v>0.870095448110078</c:v>
                </c:pt>
                <c:pt idx="103">
                  <c:v>0.86473193526944669</c:v>
                </c:pt>
                <c:pt idx="104">
                  <c:v>0.85936901536001642</c:v>
                </c:pt>
                <c:pt idx="105">
                  <c:v>0.85400763710936189</c:v>
                </c:pt>
                <c:pt idx="106">
                  <c:v>0.84864873771005023</c:v>
                </c:pt>
                <c:pt idx="107">
                  <c:v>0.84329324281941354</c:v>
                </c:pt>
                <c:pt idx="108">
                  <c:v>0.83794206656011738</c:v>
                </c:pt>
                <c:pt idx="109">
                  <c:v>0.83259611151936497</c:v>
                </c:pt>
                <c:pt idx="110">
                  <c:v>0.827256268750034</c:v>
                </c:pt>
                <c:pt idx="111">
                  <c:v>0.82192341776931244</c:v>
                </c:pt>
                <c:pt idx="112">
                  <c:v>0.81659842655994908</c:v>
                </c:pt>
                <c:pt idx="113">
                  <c:v>0.81128215156945771</c:v>
                </c:pt>
                <c:pt idx="114">
                  <c:v>0.80597543771000346</c:v>
                </c:pt>
                <c:pt idx="115">
                  <c:v>0.80067911835942596</c:v>
                </c:pt>
                <c:pt idx="116">
                  <c:v>0.79539401535998877</c:v>
                </c:pt>
                <c:pt idx="117">
                  <c:v>0.79012093901940261</c:v>
                </c:pt>
                <c:pt idx="118">
                  <c:v>0.78486068811002951</c:v>
                </c:pt>
                <c:pt idx="119">
                  <c:v>0.77961404986933758</c:v>
                </c:pt>
                <c:pt idx="120">
                  <c:v>0.77438180000001466</c:v>
                </c:pt>
                <c:pt idx="121">
                  <c:v>0.76916470266951364</c:v>
                </c:pt>
                <c:pt idx="122">
                  <c:v>0.7639635105100524</c:v>
                </c:pt>
                <c:pt idx="123">
                  <c:v>0.75877896461940963</c:v>
                </c:pt>
                <c:pt idx="124">
                  <c:v>0.75361179455990168</c:v>
                </c:pt>
                <c:pt idx="125">
                  <c:v>0.7484627183594057</c:v>
                </c:pt>
                <c:pt idx="126">
                  <c:v>0.7433324425101091</c:v>
                </c:pt>
                <c:pt idx="127">
                  <c:v>0.73822166196941907</c:v>
                </c:pt>
                <c:pt idx="128">
                  <c:v>0.73313106015984886</c:v>
                </c:pt>
                <c:pt idx="129">
                  <c:v>0.72806130896935883</c:v>
                </c:pt>
                <c:pt idx="130">
                  <c:v>0.72301306875010596</c:v>
                </c:pt>
                <c:pt idx="131">
                  <c:v>0.71798698831958063</c:v>
                </c:pt>
                <c:pt idx="132">
                  <c:v>0.71298370495992458</c:v>
                </c:pt>
                <c:pt idx="133">
                  <c:v>0.70800384441940878</c:v>
                </c:pt>
                <c:pt idx="134">
                  <c:v>0.70304802091004603</c:v>
                </c:pt>
                <c:pt idx="135">
                  <c:v>0.69811683710952366</c:v>
                </c:pt>
                <c:pt idx="136">
                  <c:v>0.69321088415995291</c:v>
                </c:pt>
                <c:pt idx="137">
                  <c:v>0.68833074166946062</c:v>
                </c:pt>
                <c:pt idx="138">
                  <c:v>0.68347697771002913</c:v>
                </c:pt>
                <c:pt idx="139">
                  <c:v>0.67865014881942898</c:v>
                </c:pt>
                <c:pt idx="140">
                  <c:v>0.67385080000002517</c:v>
                </c:pt>
                <c:pt idx="141">
                  <c:v>0.66907946471940249</c:v>
                </c:pt>
                <c:pt idx="142">
                  <c:v>0.66433666490996757</c:v>
                </c:pt>
                <c:pt idx="143">
                  <c:v>0.65962291096940362</c:v>
                </c:pt>
                <c:pt idx="144">
                  <c:v>0.65493870176010205</c:v>
                </c:pt>
                <c:pt idx="145">
                  <c:v>0.65028452460944663</c:v>
                </c:pt>
                <c:pt idx="146">
                  <c:v>0.64566085530998407</c:v>
                </c:pt>
                <c:pt idx="147">
                  <c:v>0.64106815811936713</c:v>
                </c:pt>
                <c:pt idx="148">
                  <c:v>0.63650688576001357</c:v>
                </c:pt>
                <c:pt idx="149">
                  <c:v>0.63197747941944726</c:v>
                </c:pt>
                <c:pt idx="150">
                  <c:v>0.62748036875001389</c:v>
                </c:pt>
                <c:pt idx="151">
                  <c:v>0.62301597186939262</c:v>
                </c:pt>
                <c:pt idx="152">
                  <c:v>0.61858469536002758</c:v>
                </c:pt>
                <c:pt idx="153">
                  <c:v>0.61418693426924165</c:v>
                </c:pt>
                <c:pt idx="154">
                  <c:v>0.60982307211003217</c:v>
                </c:pt>
                <c:pt idx="155">
                  <c:v>0.6054934808594794</c:v>
                </c:pt>
                <c:pt idx="156">
                  <c:v>0.60119852096005388</c:v>
                </c:pt>
                <c:pt idx="157">
                  <c:v>0.59693854131933222</c:v>
                </c:pt>
                <c:pt idx="158">
                  <c:v>0.59271387930999708</c:v>
                </c:pt>
                <c:pt idx="159">
                  <c:v>0.58852486076938249</c:v>
                </c:pt>
                <c:pt idx="160">
                  <c:v>0.58437180000009903</c:v>
                </c:pt>
                <c:pt idx="161">
                  <c:v>0.58025499976929495</c:v>
                </c:pt>
                <c:pt idx="162">
                  <c:v>0.57617475130996354</c:v>
                </c:pt>
                <c:pt idx="163">
                  <c:v>0.57213133431940832</c:v>
                </c:pt>
                <c:pt idx="164">
                  <c:v>0.56812501696003892</c:v>
                </c:pt>
                <c:pt idx="165">
                  <c:v>0.56415605585942785</c:v>
                </c:pt>
                <c:pt idx="166">
                  <c:v>0.56022469610991266</c:v>
                </c:pt>
                <c:pt idx="167">
                  <c:v>0.55633117126944853</c:v>
                </c:pt>
                <c:pt idx="168">
                  <c:v>0.55247570336001672</c:v>
                </c:pt>
                <c:pt idx="169">
                  <c:v>0.54865850286944351</c:v>
                </c:pt>
                <c:pt idx="170">
                  <c:v>0.54487976874997912</c:v>
                </c:pt>
                <c:pt idx="171">
                  <c:v>0.54113968841932092</c:v>
                </c:pt>
                <c:pt idx="172">
                  <c:v>0.53743843776004496</c:v>
                </c:pt>
                <c:pt idx="173">
                  <c:v>0.53377618111943548</c:v>
                </c:pt>
                <c:pt idx="174">
                  <c:v>0.53015307131005329</c:v>
                </c:pt>
                <c:pt idx="175">
                  <c:v>0.52656924960939477</c:v>
                </c:pt>
                <c:pt idx="176">
                  <c:v>0.52302484575994868</c:v>
                </c:pt>
                <c:pt idx="177">
                  <c:v>0.51951997796942351</c:v>
                </c:pt>
                <c:pt idx="178">
                  <c:v>0.51605475291006542</c:v>
                </c:pt>
                <c:pt idx="179">
                  <c:v>0.51262926571939715</c:v>
                </c:pt>
                <c:pt idx="180">
                  <c:v>0.50924359999999069</c:v>
                </c:pt>
                <c:pt idx="181">
                  <c:v>0.50589782781958093</c:v>
                </c:pt>
                <c:pt idx="182">
                  <c:v>0.50259200971004248</c:v>
                </c:pt>
                <c:pt idx="183">
                  <c:v>0.49932619466943606</c:v>
                </c:pt>
                <c:pt idx="184">
                  <c:v>0.4961004201599053</c:v>
                </c:pt>
                <c:pt idx="185">
                  <c:v>0.49291471210943882</c:v>
                </c:pt>
                <c:pt idx="186">
                  <c:v>0.48976908490999449</c:v>
                </c:pt>
                <c:pt idx="187">
                  <c:v>0.48666354141937518</c:v>
                </c:pt>
                <c:pt idx="188">
                  <c:v>0.48359807295992141</c:v>
                </c:pt>
                <c:pt idx="189">
                  <c:v>0.48057265931930715</c:v>
                </c:pt>
                <c:pt idx="190">
                  <c:v>0.4775872687501419</c:v>
                </c:pt>
                <c:pt idx="191">
                  <c:v>0.47464185796940228</c:v>
                </c:pt>
                <c:pt idx="192">
                  <c:v>0.47173637215996678</c:v>
                </c:pt>
                <c:pt idx="193">
                  <c:v>0.46887074496936521</c:v>
                </c:pt>
                <c:pt idx="194">
                  <c:v>0.46604489851011976</c:v>
                </c:pt>
                <c:pt idx="195">
                  <c:v>0.46325874335946082</c:v>
                </c:pt>
                <c:pt idx="196">
                  <c:v>0.46051217856000903</c:v>
                </c:pt>
                <c:pt idx="197">
                  <c:v>0.45780509161926375</c:v>
                </c:pt>
                <c:pt idx="198">
                  <c:v>0.45513735851011461</c:v>
                </c:pt>
                <c:pt idx="199">
                  <c:v>0.45250884366936361</c:v>
                </c:pt>
                <c:pt idx="200">
                  <c:v>0.44991939999999886</c:v>
                </c:pt>
                <c:pt idx="201">
                  <c:v>0.44736886886943239</c:v>
                </c:pt>
                <c:pt idx="202">
                  <c:v>0.44485708011001179</c:v>
                </c:pt>
                <c:pt idx="203">
                  <c:v>0.44238385201953179</c:v>
                </c:pt>
                <c:pt idx="204">
                  <c:v>0.43994899135986998</c:v>
                </c:pt>
                <c:pt idx="205">
                  <c:v>0.43755229335948798</c:v>
                </c:pt>
                <c:pt idx="206">
                  <c:v>0.43519354171013447</c:v>
                </c:pt>
                <c:pt idx="207">
                  <c:v>0.43287250856940318</c:v>
                </c:pt>
                <c:pt idx="208">
                  <c:v>0.43058895455999391</c:v>
                </c:pt>
                <c:pt idx="209">
                  <c:v>0.4283426287694283</c:v>
                </c:pt>
                <c:pt idx="210">
                  <c:v>0.42613326874993618</c:v>
                </c:pt>
                <c:pt idx="211">
                  <c:v>0.4239606005194787</c:v>
                </c:pt>
                <c:pt idx="212">
                  <c:v>0.42182433855998624</c:v>
                </c:pt>
                <c:pt idx="213">
                  <c:v>0.41972418581940474</c:v>
                </c:pt>
                <c:pt idx="214">
                  <c:v>0.41765983370987669</c:v>
                </c:pt>
                <c:pt idx="215">
                  <c:v>0.4156309621094465</c:v>
                </c:pt>
                <c:pt idx="216">
                  <c:v>0.41363723936007091</c:v>
                </c:pt>
                <c:pt idx="217">
                  <c:v>0.41167832226938117</c:v>
                </c:pt>
                <c:pt idx="218">
                  <c:v>0.40975385611005777</c:v>
                </c:pt>
                <c:pt idx="219">
                  <c:v>0.40786347461937567</c:v>
                </c:pt>
                <c:pt idx="220">
                  <c:v>0.40600680000000011</c:v>
                </c:pt>
                <c:pt idx="221">
                  <c:v>0.40418344291941821</c:v>
                </c:pt>
                <c:pt idx="222">
                  <c:v>0.40239300251005261</c:v>
                </c:pt>
                <c:pt idx="223">
                  <c:v>0.40063506636937518</c:v>
                </c:pt>
                <c:pt idx="224">
                  <c:v>0.39890921055990702</c:v>
                </c:pt>
                <c:pt idx="225">
                  <c:v>0.397214999609389</c:v>
                </c:pt>
                <c:pt idx="226">
                  <c:v>0.3955519865100996</c:v>
                </c:pt>
                <c:pt idx="227">
                  <c:v>0.39391971271936654</c:v>
                </c:pt>
                <c:pt idx="228">
                  <c:v>0.39231770815985101</c:v>
                </c:pt>
                <c:pt idx="229">
                  <c:v>0.39074549121937707</c:v>
                </c:pt>
                <c:pt idx="230">
                  <c:v>0.38920256874996539</c:v>
                </c:pt>
                <c:pt idx="231">
                  <c:v>0.38768843606931114</c:v>
                </c:pt>
                <c:pt idx="232">
                  <c:v>0.38620257696004501</c:v>
                </c:pt>
                <c:pt idx="233">
                  <c:v>0.38474446366939219</c:v>
                </c:pt>
                <c:pt idx="234">
                  <c:v>0.38331355691008184</c:v>
                </c:pt>
                <c:pt idx="235">
                  <c:v>0.38190930585938077</c:v>
                </c:pt>
                <c:pt idx="236">
                  <c:v>0.38053114816005973</c:v>
                </c:pt>
                <c:pt idx="237">
                  <c:v>0.37917850991948399</c:v>
                </c:pt>
                <c:pt idx="238">
                  <c:v>0.37785080571006802</c:v>
                </c:pt>
                <c:pt idx="239">
                  <c:v>0.37654743856921868</c:v>
                </c:pt>
                <c:pt idx="240">
                  <c:v>0.37526780000001736</c:v>
                </c:pt>
                <c:pt idx="241">
                  <c:v>0.37401126996940093</c:v>
                </c:pt>
                <c:pt idx="242">
                  <c:v>0.37277721691009447</c:v>
                </c:pt>
                <c:pt idx="243">
                  <c:v>0.37156499771919016</c:v>
                </c:pt>
                <c:pt idx="244">
                  <c:v>0.37037395776013682</c:v>
                </c:pt>
                <c:pt idx="245">
                  <c:v>0.36920343085932927</c:v>
                </c:pt>
                <c:pt idx="246">
                  <c:v>0.36805273931008742</c:v>
                </c:pt>
                <c:pt idx="247">
                  <c:v>0.36692119386935929</c:v>
                </c:pt>
                <c:pt idx="248">
                  <c:v>0.36580809375993795</c:v>
                </c:pt>
                <c:pt idx="249">
                  <c:v>0.36471272666949517</c:v>
                </c:pt>
                <c:pt idx="250">
                  <c:v>0.36363436875006983</c:v>
                </c:pt>
                <c:pt idx="251">
                  <c:v>0.36257228461931845</c:v>
                </c:pt>
                <c:pt idx="252">
                  <c:v>0.36152572735988997</c:v>
                </c:pt>
                <c:pt idx="253">
                  <c:v>0.36049393851942568</c:v>
                </c:pt>
                <c:pt idx="254">
                  <c:v>0.35947614811004769</c:v>
                </c:pt>
                <c:pt idx="255">
                  <c:v>0.35847157460932522</c:v>
                </c:pt>
                <c:pt idx="256">
                  <c:v>0.35747942496004725</c:v>
                </c:pt>
                <c:pt idx="257">
                  <c:v>0.35649889456931305</c:v>
                </c:pt>
                <c:pt idx="258">
                  <c:v>0.35552916731001005</c:v>
                </c:pt>
                <c:pt idx="259">
                  <c:v>0.35456941551944965</c:v>
                </c:pt>
                <c:pt idx="260">
                  <c:v>0.3536188000000493</c:v>
                </c:pt>
                <c:pt idx="261">
                  <c:v>0.35267647001933256</c:v>
                </c:pt>
                <c:pt idx="262">
                  <c:v>0.35174156331015638</c:v>
                </c:pt>
                <c:pt idx="263">
                  <c:v>0.35081320606934696</c:v>
                </c:pt>
                <c:pt idx="264">
                  <c:v>0.34989051295997342</c:v>
                </c:pt>
                <c:pt idx="265">
                  <c:v>0.34897258710930146</c:v>
                </c:pt>
                <c:pt idx="266">
                  <c:v>0.34805852011015759</c:v>
                </c:pt>
                <c:pt idx="267">
                  <c:v>0.34714739201945122</c:v>
                </c:pt>
                <c:pt idx="268">
                  <c:v>0.34623827135987995</c:v>
                </c:pt>
                <c:pt idx="269">
                  <c:v>0.34533021511924744</c:v>
                </c:pt>
                <c:pt idx="270">
                  <c:v>0.34442226875012238</c:v>
                </c:pt>
                <c:pt idx="271">
                  <c:v>0.34351346616927003</c:v>
                </c:pt>
                <c:pt idx="272">
                  <c:v>0.34260282976015333</c:v>
                </c:pt>
                <c:pt idx="273">
                  <c:v>0.34168937036963598</c:v>
                </c:pt>
                <c:pt idx="274">
                  <c:v>0.34077208731002884</c:v>
                </c:pt>
                <c:pt idx="275">
                  <c:v>0.33984996835931724</c:v>
                </c:pt>
                <c:pt idx="276">
                  <c:v>0.33892198976002419</c:v>
                </c:pt>
                <c:pt idx="277">
                  <c:v>0.33798711621955135</c:v>
                </c:pt>
                <c:pt idx="278">
                  <c:v>0.33704430091017912</c:v>
                </c:pt>
                <c:pt idx="279">
                  <c:v>0.33609248546952131</c:v>
                </c:pt>
                <c:pt idx="280">
                  <c:v>0.33513060000018413</c:v>
                </c:pt>
                <c:pt idx="281">
                  <c:v>0.33415756306942512</c:v>
                </c:pt>
                <c:pt idx="282">
                  <c:v>0.33317228171017632</c:v>
                </c:pt>
                <c:pt idx="283">
                  <c:v>0.33217365141956634</c:v>
                </c:pt>
                <c:pt idx="284">
                  <c:v>0.33116055616017093</c:v>
                </c:pt>
                <c:pt idx="285">
                  <c:v>0.33013186835944452</c:v>
                </c:pt>
                <c:pt idx="286">
                  <c:v>0.32908644890994765</c:v>
                </c:pt>
                <c:pt idx="287">
                  <c:v>0.32802314716968795</c:v>
                </c:pt>
                <c:pt idx="288">
                  <c:v>0.32694080095996014</c:v>
                </c:pt>
                <c:pt idx="289">
                  <c:v>0.32583823656932509</c:v>
                </c:pt>
                <c:pt idx="290">
                  <c:v>0.32471426875008547</c:v>
                </c:pt>
                <c:pt idx="291">
                  <c:v>0.32356770071953633</c:v>
                </c:pt>
                <c:pt idx="292">
                  <c:v>0.32239732415996514</c:v>
                </c:pt>
                <c:pt idx="293">
                  <c:v>0.32120191921944752</c:v>
                </c:pt>
                <c:pt idx="294">
                  <c:v>0.319980254510142</c:v>
                </c:pt>
                <c:pt idx="295">
                  <c:v>0.31873108710942688</c:v>
                </c:pt>
                <c:pt idx="296">
                  <c:v>0.31745316256012757</c:v>
                </c:pt>
                <c:pt idx="297">
                  <c:v>0.31614521486949343</c:v>
                </c:pt>
                <c:pt idx="298">
                  <c:v>0.31480596651022097</c:v>
                </c:pt>
                <c:pt idx="299">
                  <c:v>0.31343412841943064</c:v>
                </c:pt>
                <c:pt idx="300">
                  <c:v>0.3120283999998037</c:v>
                </c:pt>
                <c:pt idx="301">
                  <c:v>0.31058746911935486</c:v>
                </c:pt>
                <c:pt idx="302">
                  <c:v>0.30911001210984068</c:v>
                </c:pt>
                <c:pt idx="303">
                  <c:v>0.307594693769488</c:v>
                </c:pt>
                <c:pt idx="304">
                  <c:v>0.30604016735992445</c:v>
                </c:pt>
                <c:pt idx="305">
                  <c:v>0.30444507460924797</c:v>
                </c:pt>
                <c:pt idx="306">
                  <c:v>0.30280804571009412</c:v>
                </c:pt>
                <c:pt idx="307">
                  <c:v>0.30112769931952243</c:v>
                </c:pt>
                <c:pt idx="308">
                  <c:v>0.29940264255992588</c:v>
                </c:pt>
                <c:pt idx="309">
                  <c:v>0.2976314710195993</c:v>
                </c:pt>
                <c:pt idx="310">
                  <c:v>0.29581276875001095</c:v>
                </c:pt>
                <c:pt idx="311">
                  <c:v>0.29394510826932674</c:v>
                </c:pt>
                <c:pt idx="312">
                  <c:v>0.29202705056013656</c:v>
                </c:pt>
                <c:pt idx="313">
                  <c:v>0.29005714506945424</c:v>
                </c:pt>
                <c:pt idx="314">
                  <c:v>0.28803392970996811</c:v>
                </c:pt>
                <c:pt idx="315">
                  <c:v>0.28595593085947257</c:v>
                </c:pt>
                <c:pt idx="316">
                  <c:v>0.28382166336018599</c:v>
                </c:pt>
                <c:pt idx="317">
                  <c:v>0.28162963051931911</c:v>
                </c:pt>
                <c:pt idx="318">
                  <c:v>0.27937832411021191</c:v>
                </c:pt>
                <c:pt idx="319">
                  <c:v>0.27706622436926409</c:v>
                </c:pt>
                <c:pt idx="320">
                  <c:v>0.2746918000000278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1E-4B72-AFC3-CAB29A50A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91039"/>
        <c:axId val="56493119"/>
      </c:scatterChart>
      <c:valAx>
        <c:axId val="56491039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3119"/>
        <c:crosses val="autoZero"/>
        <c:crossBetween val="midCat"/>
      </c:valAx>
      <c:valAx>
        <c:axId val="5649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Wavelength:Scale</a:t>
            </a:r>
            <a:r>
              <a:rPr lang="en-GB" baseline="0"/>
              <a:t> Calibration Test Arm 2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circle"/>
            <c:size val="5"/>
            <c:spPr>
              <a:solidFill>
                <a:schemeClr val="accent1"/>
              </a:solidFill>
              <a:ln w="3175">
                <a:noFill/>
                <a:round/>
              </a:ln>
              <a:effectLst/>
            </c:spPr>
          </c:marker>
          <c:trendline>
            <c:trendlineType val="poly"/>
            <c:order val="4"/>
            <c:dispRSqr val="0"/>
            <c:dispEq val="1"/>
            <c:trendlineLbl>
              <c:numFmt formatCode="#,##0.0000" sourceLinked="0"/>
            </c:trendlineLbl>
          </c:trendline>
          <c:xVal>
            <c:numRef>
              <c:f>'Test arm 2'!$B$2:$B$34</c:f>
              <c:numCache>
                <c:formatCode>General</c:formatCode>
                <c:ptCount val="33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  <c:pt idx="7">
                  <c:v>0.65</c:v>
                </c:pt>
                <c:pt idx="8">
                  <c:v>0.7</c:v>
                </c:pt>
                <c:pt idx="9">
                  <c:v>0.75</c:v>
                </c:pt>
                <c:pt idx="10">
                  <c:v>0.8</c:v>
                </c:pt>
                <c:pt idx="11">
                  <c:v>0.85</c:v>
                </c:pt>
                <c:pt idx="12">
                  <c:v>0.9</c:v>
                </c:pt>
                <c:pt idx="13">
                  <c:v>0.95</c:v>
                </c:pt>
                <c:pt idx="14">
                  <c:v>1</c:v>
                </c:pt>
                <c:pt idx="15">
                  <c:v>1.05</c:v>
                </c:pt>
                <c:pt idx="16">
                  <c:v>1.1000000000000001</c:v>
                </c:pt>
                <c:pt idx="17">
                  <c:v>1.1499999999999999</c:v>
                </c:pt>
                <c:pt idx="18">
                  <c:v>1.2</c:v>
                </c:pt>
                <c:pt idx="19">
                  <c:v>1.25</c:v>
                </c:pt>
                <c:pt idx="20">
                  <c:v>1.3</c:v>
                </c:pt>
                <c:pt idx="21">
                  <c:v>1.35</c:v>
                </c:pt>
                <c:pt idx="22">
                  <c:v>1.4</c:v>
                </c:pt>
                <c:pt idx="23">
                  <c:v>1.45</c:v>
                </c:pt>
                <c:pt idx="24">
                  <c:v>1.5</c:v>
                </c:pt>
                <c:pt idx="25">
                  <c:v>1.55</c:v>
                </c:pt>
                <c:pt idx="26">
                  <c:v>1.6</c:v>
                </c:pt>
                <c:pt idx="27">
                  <c:v>1.65</c:v>
                </c:pt>
                <c:pt idx="28">
                  <c:v>1.7</c:v>
                </c:pt>
                <c:pt idx="29">
                  <c:v>1.75</c:v>
                </c:pt>
                <c:pt idx="30">
                  <c:v>1.8</c:v>
                </c:pt>
                <c:pt idx="31">
                  <c:v>1.85</c:v>
                </c:pt>
                <c:pt idx="32">
                  <c:v>1.9</c:v>
                </c:pt>
              </c:numCache>
            </c:numRef>
          </c:xVal>
          <c:yVal>
            <c:numRef>
              <c:f>'Test arm 2'!$C$2:$C$34</c:f>
              <c:numCache>
                <c:formatCode>General</c:formatCode>
                <c:ptCount val="33"/>
                <c:pt idx="0">
                  <c:v>673.03</c:v>
                </c:pt>
                <c:pt idx="1">
                  <c:v>654.37</c:v>
                </c:pt>
                <c:pt idx="2">
                  <c:v>636.97</c:v>
                </c:pt>
                <c:pt idx="3">
                  <c:v>621.91999999999996</c:v>
                </c:pt>
                <c:pt idx="4">
                  <c:v>607.49</c:v>
                </c:pt>
                <c:pt idx="5">
                  <c:v>594.4</c:v>
                </c:pt>
                <c:pt idx="6">
                  <c:v>581.97</c:v>
                </c:pt>
                <c:pt idx="7">
                  <c:v>570.55999999999995</c:v>
                </c:pt>
                <c:pt idx="8">
                  <c:v>560.19000000000005</c:v>
                </c:pt>
                <c:pt idx="9">
                  <c:v>550.13</c:v>
                </c:pt>
                <c:pt idx="10">
                  <c:v>541.13</c:v>
                </c:pt>
                <c:pt idx="11">
                  <c:v>532.46</c:v>
                </c:pt>
                <c:pt idx="12">
                  <c:v>524.13</c:v>
                </c:pt>
                <c:pt idx="13">
                  <c:v>516.87</c:v>
                </c:pt>
                <c:pt idx="14">
                  <c:v>509.6</c:v>
                </c:pt>
                <c:pt idx="15">
                  <c:v>502.67</c:v>
                </c:pt>
                <c:pt idx="16">
                  <c:v>496.1</c:v>
                </c:pt>
                <c:pt idx="17">
                  <c:v>490.24</c:v>
                </c:pt>
                <c:pt idx="18">
                  <c:v>484.38</c:v>
                </c:pt>
                <c:pt idx="19">
                  <c:v>478.87</c:v>
                </c:pt>
                <c:pt idx="20">
                  <c:v>473.35</c:v>
                </c:pt>
                <c:pt idx="21">
                  <c:v>468.56</c:v>
                </c:pt>
                <c:pt idx="22">
                  <c:v>463.77</c:v>
                </c:pt>
                <c:pt idx="23">
                  <c:v>458.97</c:v>
                </c:pt>
                <c:pt idx="24">
                  <c:v>454.53</c:v>
                </c:pt>
                <c:pt idx="25">
                  <c:v>450.46</c:v>
                </c:pt>
                <c:pt idx="26">
                  <c:v>446.38</c:v>
                </c:pt>
                <c:pt idx="27">
                  <c:v>442.67</c:v>
                </c:pt>
                <c:pt idx="28">
                  <c:v>438.96</c:v>
                </c:pt>
                <c:pt idx="29">
                  <c:v>435.61</c:v>
                </c:pt>
                <c:pt idx="30">
                  <c:v>432.26</c:v>
                </c:pt>
                <c:pt idx="31">
                  <c:v>428.91</c:v>
                </c:pt>
                <c:pt idx="32">
                  <c:v>425.93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17-43F9-A739-133DB100F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444424"/>
        <c:axId val="287469896"/>
      </c:scatterChart>
      <c:valAx>
        <c:axId val="2874444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Scale</a:t>
                </a:r>
                <a:r>
                  <a:rPr lang="en-GB" baseline="0"/>
                  <a:t> (cm)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469896"/>
        <c:crosses val="autoZero"/>
        <c:crossBetween val="midCat"/>
      </c:valAx>
      <c:valAx>
        <c:axId val="287469896"/>
        <c:scaling>
          <c:orientation val="minMax"/>
          <c:min val="300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Wavelength</a:t>
                </a:r>
                <a:r>
                  <a:rPr lang="en-GB" baseline="0"/>
                  <a:t> (nm)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444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6.9495406824146982E-2"/>
                  <c:y val="-0.11370297462817149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'Green arm'!$A$6:$A$34</c:f>
              <c:numCache>
                <c:formatCode>General</c:formatCode>
                <c:ptCount val="29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  <c:pt idx="8">
                  <c:v>8.5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  <c:pt idx="12">
                  <c:v>10.5</c:v>
                </c:pt>
                <c:pt idx="13">
                  <c:v>11</c:v>
                </c:pt>
                <c:pt idx="14">
                  <c:v>11.5</c:v>
                </c:pt>
                <c:pt idx="15">
                  <c:v>12</c:v>
                </c:pt>
                <c:pt idx="16">
                  <c:v>12.5</c:v>
                </c:pt>
                <c:pt idx="17">
                  <c:v>13</c:v>
                </c:pt>
                <c:pt idx="18">
                  <c:v>13.5</c:v>
                </c:pt>
                <c:pt idx="19">
                  <c:v>14</c:v>
                </c:pt>
                <c:pt idx="20">
                  <c:v>14.5</c:v>
                </c:pt>
                <c:pt idx="21">
                  <c:v>15</c:v>
                </c:pt>
                <c:pt idx="22">
                  <c:v>15.5</c:v>
                </c:pt>
                <c:pt idx="23">
                  <c:v>16</c:v>
                </c:pt>
                <c:pt idx="24">
                  <c:v>16.5</c:v>
                </c:pt>
                <c:pt idx="25">
                  <c:v>17</c:v>
                </c:pt>
                <c:pt idx="26">
                  <c:v>17.5</c:v>
                </c:pt>
                <c:pt idx="27">
                  <c:v>18</c:v>
                </c:pt>
                <c:pt idx="28">
                  <c:v>18.5</c:v>
                </c:pt>
              </c:numCache>
            </c:numRef>
          </c:xVal>
          <c:yVal>
            <c:numRef>
              <c:f>'Green arm'!$B$6:$B$34</c:f>
              <c:numCache>
                <c:formatCode>General</c:formatCode>
                <c:ptCount val="29"/>
                <c:pt idx="0">
                  <c:v>412.86</c:v>
                </c:pt>
                <c:pt idx="1">
                  <c:v>415.47</c:v>
                </c:pt>
                <c:pt idx="2">
                  <c:v>418.46</c:v>
                </c:pt>
                <c:pt idx="3">
                  <c:v>421.45</c:v>
                </c:pt>
                <c:pt idx="4">
                  <c:v>424.81</c:v>
                </c:pt>
                <c:pt idx="5">
                  <c:v>428.17</c:v>
                </c:pt>
                <c:pt idx="6">
                  <c:v>431.52</c:v>
                </c:pt>
                <c:pt idx="7">
                  <c:v>435.24</c:v>
                </c:pt>
                <c:pt idx="8">
                  <c:v>438.96</c:v>
                </c:pt>
                <c:pt idx="9">
                  <c:v>443.41</c:v>
                </c:pt>
                <c:pt idx="10">
                  <c:v>447.49</c:v>
                </c:pt>
                <c:pt idx="11">
                  <c:v>451.57</c:v>
                </c:pt>
                <c:pt idx="12">
                  <c:v>456.38</c:v>
                </c:pt>
                <c:pt idx="13">
                  <c:v>461.18</c:v>
                </c:pt>
                <c:pt idx="14">
                  <c:v>466.35</c:v>
                </c:pt>
                <c:pt idx="15">
                  <c:v>471.88</c:v>
                </c:pt>
                <c:pt idx="16">
                  <c:v>477.03</c:v>
                </c:pt>
                <c:pt idx="17">
                  <c:v>483.28</c:v>
                </c:pt>
                <c:pt idx="18">
                  <c:v>489.51</c:v>
                </c:pt>
                <c:pt idx="19">
                  <c:v>496.1</c:v>
                </c:pt>
                <c:pt idx="20">
                  <c:v>503.04</c:v>
                </c:pt>
                <c:pt idx="21">
                  <c:v>510.33</c:v>
                </c:pt>
                <c:pt idx="22">
                  <c:v>518.33000000000004</c:v>
                </c:pt>
                <c:pt idx="23">
                  <c:v>527.03</c:v>
                </c:pt>
                <c:pt idx="24">
                  <c:v>535.71</c:v>
                </c:pt>
                <c:pt idx="25">
                  <c:v>545.45000000000005</c:v>
                </c:pt>
                <c:pt idx="26">
                  <c:v>555.88</c:v>
                </c:pt>
                <c:pt idx="27">
                  <c:v>566.63</c:v>
                </c:pt>
                <c:pt idx="28">
                  <c:v>579.13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A1-4174-9584-E68DE76C3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828847"/>
        <c:axId val="2122830095"/>
      </c:scatterChart>
      <c:valAx>
        <c:axId val="212282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830095"/>
        <c:crosses val="autoZero"/>
        <c:crossBetween val="midCat"/>
      </c:valAx>
      <c:valAx>
        <c:axId val="212283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82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-1.0680227471566053E-3"/>
                  <c:y val="-0.10226851851851852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'Blue arm'!$A$4:$A$21</c:f>
              <c:numCache>
                <c:formatCode>General</c:formatCode>
                <c:ptCount val="18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  <c:pt idx="13">
                  <c:v>10.5</c:v>
                </c:pt>
                <c:pt idx="14">
                  <c:v>11</c:v>
                </c:pt>
                <c:pt idx="15">
                  <c:v>11.5</c:v>
                </c:pt>
                <c:pt idx="16">
                  <c:v>12</c:v>
                </c:pt>
                <c:pt idx="17">
                  <c:v>12.5</c:v>
                </c:pt>
              </c:numCache>
            </c:numRef>
          </c:xVal>
          <c:yVal>
            <c:numRef>
              <c:f>'Blue arm'!$B$4:$B$21</c:f>
              <c:numCache>
                <c:formatCode>General</c:formatCode>
                <c:ptCount val="18"/>
                <c:pt idx="0">
                  <c:v>412.86</c:v>
                </c:pt>
                <c:pt idx="1">
                  <c:v>415.47</c:v>
                </c:pt>
                <c:pt idx="2">
                  <c:v>418.09</c:v>
                </c:pt>
                <c:pt idx="3">
                  <c:v>420.7</c:v>
                </c:pt>
                <c:pt idx="4">
                  <c:v>423.32</c:v>
                </c:pt>
                <c:pt idx="5">
                  <c:v>426.3</c:v>
                </c:pt>
                <c:pt idx="6">
                  <c:v>429.28</c:v>
                </c:pt>
                <c:pt idx="7">
                  <c:v>432.63</c:v>
                </c:pt>
                <c:pt idx="8">
                  <c:v>434.87</c:v>
                </c:pt>
                <c:pt idx="9">
                  <c:v>438.59</c:v>
                </c:pt>
                <c:pt idx="10">
                  <c:v>441.93</c:v>
                </c:pt>
                <c:pt idx="11">
                  <c:v>445.64</c:v>
                </c:pt>
                <c:pt idx="12">
                  <c:v>449.35</c:v>
                </c:pt>
                <c:pt idx="13">
                  <c:v>453.42</c:v>
                </c:pt>
                <c:pt idx="14">
                  <c:v>457.49</c:v>
                </c:pt>
                <c:pt idx="15">
                  <c:v>461.55</c:v>
                </c:pt>
                <c:pt idx="16">
                  <c:v>466.35</c:v>
                </c:pt>
                <c:pt idx="17">
                  <c:v>471.14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BE-4520-8DFB-0FC9491FA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48303"/>
        <c:axId val="99149967"/>
      </c:scatterChart>
      <c:valAx>
        <c:axId val="99148303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9967"/>
        <c:crosses val="autoZero"/>
        <c:crossBetween val="midCat"/>
      </c:valAx>
      <c:valAx>
        <c:axId val="9914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8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'Red arm'!$A$4:$A$15</c:f>
              <c:numCache>
                <c:formatCode>General</c:formatCode>
                <c:ptCount val="12"/>
                <c:pt idx="0">
                  <c:v>19.5</c:v>
                </c:pt>
                <c:pt idx="1">
                  <c:v>20</c:v>
                </c:pt>
                <c:pt idx="2">
                  <c:v>20.5</c:v>
                </c:pt>
                <c:pt idx="3">
                  <c:v>21</c:v>
                </c:pt>
                <c:pt idx="4">
                  <c:v>21.5</c:v>
                </c:pt>
                <c:pt idx="5">
                  <c:v>22</c:v>
                </c:pt>
                <c:pt idx="6">
                  <c:v>22.5</c:v>
                </c:pt>
                <c:pt idx="7">
                  <c:v>23</c:v>
                </c:pt>
                <c:pt idx="8">
                  <c:v>23.5</c:v>
                </c:pt>
                <c:pt idx="9">
                  <c:v>24</c:v>
                </c:pt>
                <c:pt idx="10">
                  <c:v>24.5</c:v>
                </c:pt>
                <c:pt idx="11">
                  <c:v>25</c:v>
                </c:pt>
              </c:numCache>
            </c:numRef>
          </c:xVal>
          <c:yVal>
            <c:numRef>
              <c:f>'Red arm'!$B$4:$B$15</c:f>
              <c:numCache>
                <c:formatCode>General</c:formatCode>
                <c:ptCount val="12"/>
                <c:pt idx="0">
                  <c:v>565.20000000000005</c:v>
                </c:pt>
                <c:pt idx="1">
                  <c:v>575.55999999999995</c:v>
                </c:pt>
                <c:pt idx="2">
                  <c:v>586.95000000000005</c:v>
                </c:pt>
                <c:pt idx="3">
                  <c:v>599.01</c:v>
                </c:pt>
                <c:pt idx="4">
                  <c:v>612.07000000000005</c:v>
                </c:pt>
                <c:pt idx="5">
                  <c:v>626.12</c:v>
                </c:pt>
                <c:pt idx="6">
                  <c:v>641.5</c:v>
                </c:pt>
                <c:pt idx="7">
                  <c:v>658.18</c:v>
                </c:pt>
                <c:pt idx="8">
                  <c:v>676.13</c:v>
                </c:pt>
                <c:pt idx="9">
                  <c:v>696.34</c:v>
                </c:pt>
                <c:pt idx="10">
                  <c:v>718.43</c:v>
                </c:pt>
                <c:pt idx="11">
                  <c:v>742.32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32-4C5A-ACA2-90EA4D787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713231"/>
        <c:axId val="2116711567"/>
      </c:scatterChart>
      <c:valAx>
        <c:axId val="2116713231"/>
        <c:scaling>
          <c:orientation val="minMax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711567"/>
        <c:crosses val="autoZero"/>
        <c:crossBetween val="midCat"/>
      </c:valAx>
      <c:valAx>
        <c:axId val="211671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71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466724</xdr:colOff>
      <xdr:row>2</xdr:row>
      <xdr:rowOff>28574</xdr:rowOff>
    </xdr:from>
    <xdr:to>
      <xdr:col>19</xdr:col>
      <xdr:colOff>558800</xdr:colOff>
      <xdr:row>69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352424</xdr:colOff>
      <xdr:row>4</xdr:row>
      <xdr:rowOff>38099</xdr:rowOff>
    </xdr:from>
    <xdr:to>
      <xdr:col>29</xdr:col>
      <xdr:colOff>590549</xdr:colOff>
      <xdr:row>46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549275</xdr:colOff>
      <xdr:row>0</xdr:row>
      <xdr:rowOff>47625</xdr:rowOff>
    </xdr:from>
    <xdr:to>
      <xdr:col>18</xdr:col>
      <xdr:colOff>244475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A654DB-7688-4D6C-9C35-823F96668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574675</xdr:colOff>
      <xdr:row>17</xdr:row>
      <xdr:rowOff>22224</xdr:rowOff>
    </xdr:from>
    <xdr:to>
      <xdr:col>18</xdr:col>
      <xdr:colOff>269875</xdr:colOff>
      <xdr:row>40</xdr:row>
      <xdr:rowOff>44449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40818B-4CB1-4C75-BB63-62D7721FA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147247</xdr:rowOff>
    </xdr:from>
    <xdr:to>
      <xdr:col>8</xdr:col>
      <xdr:colOff>441739</xdr:colOff>
      <xdr:row>83</xdr:row>
      <xdr:rowOff>18405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26A702-0A15-435F-9663-D49BB72BD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416298</xdr:colOff>
      <xdr:row>0</xdr:row>
      <xdr:rowOff>0</xdr:rowOff>
    </xdr:from>
    <xdr:to>
      <xdr:col>14</xdr:col>
      <xdr:colOff>605118</xdr:colOff>
      <xdr:row>29</xdr:row>
      <xdr:rowOff>2242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92075</xdr:colOff>
      <xdr:row>6</xdr:row>
      <xdr:rowOff>174625</xdr:rowOff>
    </xdr:from>
    <xdr:to>
      <xdr:col>9</xdr:col>
      <xdr:colOff>0</xdr:colOff>
      <xdr:row>21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662D2-B399-4CA1-BF6A-AEE5F1340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6</xdr:row>
      <xdr:rowOff>152400</xdr:rowOff>
    </xdr:from>
    <xdr:to>
      <xdr:col>8</xdr:col>
      <xdr:colOff>466725</xdr:colOff>
      <xdr:row>21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AB1901-4212-46B6-8965-74BFE9401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120650</xdr:rowOff>
    </xdr:from>
    <xdr:to>
      <xdr:col>7</xdr:col>
      <xdr:colOff>57150</xdr:colOff>
      <xdr:row>34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E15836-1D26-416F-BAE0-A8E6C7DFA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855B-F922-4CFE-99EC-DACB17EBBC29}">
  <dimension ref="A1:M322"/>
  <sheetViews>
    <sheetView tabSelected="1" workbookViewId="0">
      <selection activeCell="L3" sqref="L3"/>
    </sheetView>
  </sheetViews>
  <sheetFormatPr defaultRowHeight="14.4" x14ac:dyDescent="0.3"/>
  <cols>
    <col min="2" max="2" width="10.33203125" customWidth="1"/>
    <col min="4" max="4" width="10.77734375" customWidth="1"/>
    <col min="12" max="12" width="14.44140625" customWidth="1"/>
    <col min="13" max="13" width="9.88671875" customWidth="1"/>
    <col min="14" max="14" width="10.109375" customWidth="1"/>
    <col min="15" max="15" width="14.77734375" customWidth="1"/>
  </cols>
  <sheetData>
    <row r="1" spans="1:13" x14ac:dyDescent="0.3">
      <c r="A1" t="s">
        <v>25</v>
      </c>
      <c r="B1" t="s">
        <v>27</v>
      </c>
      <c r="C1" t="s">
        <v>25</v>
      </c>
      <c r="D1" t="s">
        <v>28</v>
      </c>
      <c r="E1" t="s">
        <v>25</v>
      </c>
      <c r="F1" t="s">
        <v>29</v>
      </c>
      <c r="G1" t="s">
        <v>25</v>
      </c>
      <c r="H1" t="s">
        <v>30</v>
      </c>
      <c r="I1" t="s">
        <v>25</v>
      </c>
      <c r="J1" t="s">
        <v>31</v>
      </c>
      <c r="L1" s="7" t="s">
        <v>9</v>
      </c>
      <c r="M1" s="7" t="s">
        <v>27</v>
      </c>
    </row>
    <row r="2" spans="1:13" x14ac:dyDescent="0.3">
      <c r="A2">
        <v>3</v>
      </c>
      <c r="B2">
        <v>671.08</v>
      </c>
      <c r="C2">
        <v>3</v>
      </c>
      <c r="D2">
        <v>673.63</v>
      </c>
      <c r="E2">
        <v>19.5</v>
      </c>
      <c r="F2">
        <v>569.22</v>
      </c>
      <c r="G2">
        <v>4.5</v>
      </c>
      <c r="H2">
        <v>414.16</v>
      </c>
      <c r="I2">
        <v>4</v>
      </c>
      <c r="J2">
        <v>414.19</v>
      </c>
      <c r="L2" s="6">
        <v>6.4</v>
      </c>
      <c r="M2" s="6">
        <f>LOOKUP(L2,A2:B322)</f>
        <v>574.23</v>
      </c>
    </row>
    <row r="3" spans="1:13" x14ac:dyDescent="0.3">
      <c r="A3">
        <v>3.05</v>
      </c>
      <c r="B3">
        <v>669.27</v>
      </c>
      <c r="C3">
        <v>3.05</v>
      </c>
      <c r="D3">
        <v>671.77</v>
      </c>
      <c r="E3">
        <v>19.55</v>
      </c>
      <c r="F3">
        <v>570.26</v>
      </c>
      <c r="G3">
        <v>4.55</v>
      </c>
      <c r="H3">
        <v>414.42</v>
      </c>
      <c r="I3">
        <v>4.05</v>
      </c>
      <c r="J3">
        <v>414.44</v>
      </c>
      <c r="L3" s="5"/>
      <c r="M3" s="5"/>
    </row>
    <row r="4" spans="1:13" x14ac:dyDescent="0.3">
      <c r="A4">
        <v>3.1</v>
      </c>
      <c r="B4">
        <v>667.49</v>
      </c>
      <c r="C4">
        <v>3.1</v>
      </c>
      <c r="D4">
        <v>669.91</v>
      </c>
      <c r="E4">
        <v>19.600000000000001</v>
      </c>
      <c r="F4">
        <v>571.29999999999995</v>
      </c>
      <c r="G4">
        <v>4.5999999999999996</v>
      </c>
      <c r="H4">
        <v>414.67</v>
      </c>
      <c r="I4">
        <v>4.0999999999999996</v>
      </c>
      <c r="J4">
        <v>414.69</v>
      </c>
      <c r="L4" s="7" t="s">
        <v>9</v>
      </c>
      <c r="M4" s="7" t="s">
        <v>28</v>
      </c>
    </row>
    <row r="5" spans="1:13" x14ac:dyDescent="0.3">
      <c r="A5">
        <v>3.15</v>
      </c>
      <c r="B5">
        <v>665.71</v>
      </c>
      <c r="C5">
        <v>3.15</v>
      </c>
      <c r="D5">
        <v>668.07</v>
      </c>
      <c r="E5">
        <v>19.649999999999999</v>
      </c>
      <c r="F5">
        <v>572.36</v>
      </c>
      <c r="G5">
        <v>4.6500000000000004</v>
      </c>
      <c r="H5">
        <v>414.93</v>
      </c>
      <c r="I5">
        <v>4.1500000000000004</v>
      </c>
      <c r="J5">
        <v>414.95</v>
      </c>
      <c r="L5" s="6">
        <v>3.3</v>
      </c>
      <c r="M5" s="6">
        <f>LOOKUP(L5,C2:D322)</f>
        <v>662.63</v>
      </c>
    </row>
    <row r="6" spans="1:13" x14ac:dyDescent="0.3">
      <c r="A6">
        <v>3.2</v>
      </c>
      <c r="B6">
        <v>663.95</v>
      </c>
      <c r="C6">
        <v>3.2</v>
      </c>
      <c r="D6">
        <v>666.25</v>
      </c>
      <c r="E6">
        <v>19.7</v>
      </c>
      <c r="F6">
        <v>573.41999999999996</v>
      </c>
      <c r="G6">
        <v>4.7</v>
      </c>
      <c r="H6">
        <v>415.19</v>
      </c>
      <c r="I6">
        <v>4.2</v>
      </c>
      <c r="J6">
        <v>415.2</v>
      </c>
      <c r="L6" s="5"/>
      <c r="M6" s="5"/>
    </row>
    <row r="7" spans="1:13" x14ac:dyDescent="0.3">
      <c r="A7">
        <v>3.25</v>
      </c>
      <c r="B7">
        <v>662.2</v>
      </c>
      <c r="C7">
        <v>3.25</v>
      </c>
      <c r="D7">
        <v>664.43</v>
      </c>
      <c r="E7">
        <v>19.75</v>
      </c>
      <c r="F7">
        <v>574.48</v>
      </c>
      <c r="G7">
        <v>4.75</v>
      </c>
      <c r="H7">
        <v>415.45</v>
      </c>
      <c r="I7">
        <v>4.25</v>
      </c>
      <c r="J7">
        <v>415.46</v>
      </c>
      <c r="L7" s="7" t="s">
        <v>9</v>
      </c>
      <c r="M7" s="7" t="s">
        <v>29</v>
      </c>
    </row>
    <row r="8" spans="1:13" x14ac:dyDescent="0.3">
      <c r="A8">
        <v>3.3</v>
      </c>
      <c r="B8">
        <v>660.46</v>
      </c>
      <c r="C8">
        <v>3.3</v>
      </c>
      <c r="D8">
        <v>662.63</v>
      </c>
      <c r="E8">
        <v>19.8</v>
      </c>
      <c r="F8">
        <v>575.55999999999995</v>
      </c>
      <c r="G8">
        <v>4.8</v>
      </c>
      <c r="H8">
        <v>415.71</v>
      </c>
      <c r="I8">
        <v>4.3</v>
      </c>
      <c r="J8">
        <v>415.71</v>
      </c>
      <c r="L8" s="6">
        <v>18.45</v>
      </c>
      <c r="M8" s="6" t="e">
        <f>LOOKUP(L8,E2:F112)</f>
        <v>#N/A</v>
      </c>
    </row>
    <row r="9" spans="1:13" x14ac:dyDescent="0.3">
      <c r="A9">
        <v>3.35</v>
      </c>
      <c r="B9">
        <v>658.74</v>
      </c>
      <c r="C9">
        <v>3.35</v>
      </c>
      <c r="D9">
        <v>660.85</v>
      </c>
      <c r="E9">
        <v>19.850000000000001</v>
      </c>
      <c r="F9">
        <v>576.64</v>
      </c>
      <c r="G9">
        <v>4.8499999999999996</v>
      </c>
      <c r="H9">
        <v>415.97</v>
      </c>
      <c r="I9">
        <v>4.3499999999999996</v>
      </c>
      <c r="J9">
        <v>415.97</v>
      </c>
      <c r="L9" s="5"/>
      <c r="M9" s="5"/>
    </row>
    <row r="10" spans="1:13" x14ac:dyDescent="0.3">
      <c r="A10">
        <v>3.4</v>
      </c>
      <c r="B10">
        <v>657.03</v>
      </c>
      <c r="C10">
        <v>3.4</v>
      </c>
      <c r="D10">
        <v>659.08</v>
      </c>
      <c r="E10">
        <v>19.899999999999999</v>
      </c>
      <c r="F10">
        <v>577.73</v>
      </c>
      <c r="G10">
        <v>4.9000000000000004</v>
      </c>
      <c r="H10">
        <v>416.24</v>
      </c>
      <c r="I10">
        <v>4.4000000000000004</v>
      </c>
      <c r="J10">
        <v>416.23</v>
      </c>
      <c r="L10" s="7" t="s">
        <v>9</v>
      </c>
      <c r="M10" s="7" t="s">
        <v>30</v>
      </c>
    </row>
    <row r="11" spans="1:13" x14ac:dyDescent="0.3">
      <c r="A11">
        <v>3.45</v>
      </c>
      <c r="B11">
        <v>655.33000000000004</v>
      </c>
      <c r="C11">
        <v>3.45</v>
      </c>
      <c r="D11">
        <v>657.32</v>
      </c>
      <c r="E11">
        <v>19.95</v>
      </c>
      <c r="F11">
        <v>578.82000000000005</v>
      </c>
      <c r="G11">
        <v>4.95</v>
      </c>
      <c r="H11">
        <v>416.51</v>
      </c>
      <c r="I11">
        <v>4.45</v>
      </c>
      <c r="J11">
        <v>416.48</v>
      </c>
      <c r="L11" s="6">
        <v>17.3</v>
      </c>
      <c r="M11" s="6">
        <f>LOOKUP(L11,G2:H282)</f>
        <v>555.14</v>
      </c>
    </row>
    <row r="12" spans="1:13" x14ac:dyDescent="0.3">
      <c r="A12">
        <v>3.5</v>
      </c>
      <c r="B12">
        <v>653.64</v>
      </c>
      <c r="C12">
        <v>3.5</v>
      </c>
      <c r="D12">
        <v>655.57</v>
      </c>
      <c r="E12">
        <v>20</v>
      </c>
      <c r="F12">
        <v>579.91999999999996</v>
      </c>
      <c r="G12">
        <v>5</v>
      </c>
      <c r="H12">
        <v>416.78</v>
      </c>
      <c r="I12">
        <v>4.5</v>
      </c>
      <c r="J12">
        <v>416.74</v>
      </c>
      <c r="L12" s="5"/>
      <c r="M12" s="5"/>
    </row>
    <row r="13" spans="1:13" x14ac:dyDescent="0.3">
      <c r="A13">
        <v>3.55</v>
      </c>
      <c r="B13">
        <v>651.97</v>
      </c>
      <c r="C13">
        <v>3.55</v>
      </c>
      <c r="D13">
        <v>653.84</v>
      </c>
      <c r="E13">
        <v>20.05</v>
      </c>
      <c r="F13">
        <v>581.03</v>
      </c>
      <c r="G13">
        <v>5.05</v>
      </c>
      <c r="H13">
        <v>417.05</v>
      </c>
      <c r="I13">
        <v>4.55</v>
      </c>
      <c r="J13">
        <v>417</v>
      </c>
      <c r="L13" s="7" t="s">
        <v>9</v>
      </c>
      <c r="M13" s="7" t="s">
        <v>31</v>
      </c>
    </row>
    <row r="14" spans="1:13" x14ac:dyDescent="0.3">
      <c r="A14">
        <v>3.6</v>
      </c>
      <c r="B14">
        <v>650.29999999999995</v>
      </c>
      <c r="C14">
        <v>3.6</v>
      </c>
      <c r="D14">
        <v>652.12</v>
      </c>
      <c r="E14">
        <v>20.100000000000001</v>
      </c>
      <c r="F14">
        <v>582.15</v>
      </c>
      <c r="G14">
        <v>5.0999999999999996</v>
      </c>
      <c r="H14">
        <v>417.33</v>
      </c>
      <c r="I14">
        <v>4.5999999999999996</v>
      </c>
      <c r="J14">
        <v>417.26</v>
      </c>
      <c r="L14" s="6">
        <v>4.8</v>
      </c>
      <c r="M14" s="6">
        <f>LOOKUP(L14,I2:J172)</f>
        <v>418.29</v>
      </c>
    </row>
    <row r="15" spans="1:13" x14ac:dyDescent="0.3">
      <c r="A15">
        <v>3.65</v>
      </c>
      <c r="B15">
        <v>648.65</v>
      </c>
      <c r="C15">
        <v>3.65</v>
      </c>
      <c r="D15">
        <v>650.41999999999996</v>
      </c>
      <c r="E15">
        <v>20.149999999999999</v>
      </c>
      <c r="F15">
        <v>583.28</v>
      </c>
      <c r="G15">
        <v>5.15</v>
      </c>
      <c r="H15">
        <v>417.61</v>
      </c>
      <c r="I15">
        <v>4.6500000000000004</v>
      </c>
      <c r="J15">
        <v>417.51</v>
      </c>
    </row>
    <row r="16" spans="1:13" x14ac:dyDescent="0.3">
      <c r="A16">
        <v>3.7</v>
      </c>
      <c r="B16">
        <v>647.02</v>
      </c>
      <c r="C16">
        <v>3.7</v>
      </c>
      <c r="D16">
        <v>648.72</v>
      </c>
      <c r="E16">
        <v>20.2</v>
      </c>
      <c r="F16">
        <v>584.41</v>
      </c>
      <c r="G16">
        <v>5.2</v>
      </c>
      <c r="H16">
        <v>417.89</v>
      </c>
      <c r="I16">
        <v>4.7</v>
      </c>
      <c r="J16">
        <v>417.77</v>
      </c>
    </row>
    <row r="17" spans="1:10" x14ac:dyDescent="0.3">
      <c r="A17">
        <v>3.75</v>
      </c>
      <c r="B17">
        <v>645.39</v>
      </c>
      <c r="C17">
        <v>3.75</v>
      </c>
      <c r="D17">
        <v>647.04</v>
      </c>
      <c r="E17">
        <v>20.25</v>
      </c>
      <c r="F17">
        <v>585.54999999999995</v>
      </c>
      <c r="G17">
        <v>5.25</v>
      </c>
      <c r="H17">
        <v>418.17</v>
      </c>
      <c r="I17">
        <v>4.75</v>
      </c>
      <c r="J17">
        <v>418.03</v>
      </c>
    </row>
    <row r="18" spans="1:10" x14ac:dyDescent="0.3">
      <c r="A18">
        <v>3.8</v>
      </c>
      <c r="B18">
        <v>643.78</v>
      </c>
      <c r="C18">
        <v>3.8</v>
      </c>
      <c r="D18">
        <v>645.38</v>
      </c>
      <c r="E18">
        <v>20.3</v>
      </c>
      <c r="F18">
        <v>586.70000000000005</v>
      </c>
      <c r="G18">
        <v>5.3</v>
      </c>
      <c r="H18">
        <v>418.45</v>
      </c>
      <c r="I18">
        <v>4.8</v>
      </c>
      <c r="J18">
        <v>418.29</v>
      </c>
    </row>
    <row r="19" spans="1:10" x14ac:dyDescent="0.3">
      <c r="A19">
        <v>3.85</v>
      </c>
      <c r="B19">
        <v>642.16999999999996</v>
      </c>
      <c r="C19">
        <v>3.85</v>
      </c>
      <c r="D19">
        <v>643.72</v>
      </c>
      <c r="E19">
        <v>20.350000000000001</v>
      </c>
      <c r="F19">
        <v>587.85</v>
      </c>
      <c r="G19">
        <v>5.35</v>
      </c>
      <c r="H19">
        <v>418.73</v>
      </c>
      <c r="I19">
        <v>4.8499999999999996</v>
      </c>
      <c r="J19">
        <v>418.55</v>
      </c>
    </row>
    <row r="20" spans="1:10" x14ac:dyDescent="0.3">
      <c r="A20">
        <v>3.9</v>
      </c>
      <c r="B20">
        <v>640.58000000000004</v>
      </c>
      <c r="C20">
        <v>3.9</v>
      </c>
      <c r="D20">
        <v>642.08000000000004</v>
      </c>
      <c r="E20">
        <v>20.399999999999999</v>
      </c>
      <c r="F20">
        <v>589.01</v>
      </c>
      <c r="G20">
        <v>5.4</v>
      </c>
      <c r="H20">
        <v>419.02</v>
      </c>
      <c r="I20">
        <v>4.9000000000000004</v>
      </c>
      <c r="J20">
        <v>418.81</v>
      </c>
    </row>
    <row r="21" spans="1:10" x14ac:dyDescent="0.3">
      <c r="A21">
        <v>3.95</v>
      </c>
      <c r="B21">
        <v>639.01</v>
      </c>
      <c r="C21">
        <v>3.95</v>
      </c>
      <c r="D21">
        <v>640.45000000000005</v>
      </c>
      <c r="E21">
        <v>20.45</v>
      </c>
      <c r="F21">
        <v>590.19000000000005</v>
      </c>
      <c r="G21">
        <v>5.45</v>
      </c>
      <c r="H21">
        <v>419.31</v>
      </c>
      <c r="I21">
        <v>4.95</v>
      </c>
      <c r="J21">
        <v>419.07</v>
      </c>
    </row>
    <row r="22" spans="1:10" x14ac:dyDescent="0.3">
      <c r="A22">
        <v>4</v>
      </c>
      <c r="B22">
        <v>637.44000000000005</v>
      </c>
      <c r="C22">
        <v>4</v>
      </c>
      <c r="D22">
        <v>638.83000000000004</v>
      </c>
      <c r="E22">
        <v>20.5</v>
      </c>
      <c r="F22">
        <v>591.37</v>
      </c>
      <c r="G22">
        <v>5.5</v>
      </c>
      <c r="H22">
        <v>419.6</v>
      </c>
      <c r="I22">
        <v>5</v>
      </c>
      <c r="J22">
        <v>419.34</v>
      </c>
    </row>
    <row r="23" spans="1:10" x14ac:dyDescent="0.3">
      <c r="A23">
        <v>4.05</v>
      </c>
      <c r="B23">
        <v>635.88</v>
      </c>
      <c r="C23">
        <v>4.05</v>
      </c>
      <c r="D23">
        <v>637.23</v>
      </c>
      <c r="E23">
        <v>20.55</v>
      </c>
      <c r="F23">
        <v>592.54999999999995</v>
      </c>
      <c r="G23">
        <v>5.55</v>
      </c>
      <c r="H23">
        <v>419.89</v>
      </c>
      <c r="I23">
        <v>5.05</v>
      </c>
      <c r="J23">
        <v>419.6</v>
      </c>
    </row>
    <row r="24" spans="1:10" x14ac:dyDescent="0.3">
      <c r="A24">
        <v>4.0999999999999996</v>
      </c>
      <c r="B24">
        <v>634.34</v>
      </c>
      <c r="C24">
        <v>4.0999999999999996</v>
      </c>
      <c r="D24">
        <v>635.63</v>
      </c>
      <c r="E24">
        <v>20.6</v>
      </c>
      <c r="F24">
        <v>593.75</v>
      </c>
      <c r="G24">
        <v>5.6</v>
      </c>
      <c r="H24">
        <v>420.19</v>
      </c>
      <c r="I24">
        <v>5.0999999999999996</v>
      </c>
      <c r="J24">
        <v>419.86</v>
      </c>
    </row>
    <row r="25" spans="1:10" x14ac:dyDescent="0.3">
      <c r="A25">
        <v>4.1500000000000004</v>
      </c>
      <c r="B25">
        <v>632.80999999999995</v>
      </c>
      <c r="C25">
        <v>4.1500000000000004</v>
      </c>
      <c r="D25">
        <v>634.04999999999995</v>
      </c>
      <c r="E25">
        <v>20.65</v>
      </c>
      <c r="F25">
        <v>594.95000000000005</v>
      </c>
      <c r="G25">
        <v>5.65</v>
      </c>
      <c r="H25">
        <v>420.49</v>
      </c>
      <c r="I25">
        <v>5.15</v>
      </c>
      <c r="J25">
        <v>420.12</v>
      </c>
    </row>
    <row r="26" spans="1:10" x14ac:dyDescent="0.3">
      <c r="A26">
        <v>4.2</v>
      </c>
      <c r="B26">
        <v>631.28</v>
      </c>
      <c r="C26">
        <v>4.2</v>
      </c>
      <c r="D26">
        <v>632.48</v>
      </c>
      <c r="E26">
        <v>20.7</v>
      </c>
      <c r="F26">
        <v>596.16</v>
      </c>
      <c r="G26">
        <v>5.7</v>
      </c>
      <c r="H26">
        <v>420.79</v>
      </c>
      <c r="I26">
        <v>5.2</v>
      </c>
      <c r="J26">
        <v>420.39</v>
      </c>
    </row>
    <row r="27" spans="1:10" x14ac:dyDescent="0.3">
      <c r="A27">
        <v>4.25</v>
      </c>
      <c r="B27">
        <v>629.77</v>
      </c>
      <c r="C27">
        <v>4.25</v>
      </c>
      <c r="D27">
        <v>630.91999999999996</v>
      </c>
      <c r="E27">
        <v>20.75</v>
      </c>
      <c r="F27">
        <v>597.39</v>
      </c>
      <c r="G27">
        <v>5.75</v>
      </c>
      <c r="H27">
        <v>421.09</v>
      </c>
      <c r="I27">
        <v>5.25</v>
      </c>
      <c r="J27">
        <v>420.65</v>
      </c>
    </row>
    <row r="28" spans="1:10" x14ac:dyDescent="0.3">
      <c r="A28">
        <v>4.3</v>
      </c>
      <c r="B28">
        <v>628.27</v>
      </c>
      <c r="C28">
        <v>4.3</v>
      </c>
      <c r="D28">
        <v>629.38</v>
      </c>
      <c r="E28">
        <v>20.8</v>
      </c>
      <c r="F28">
        <v>598.61</v>
      </c>
      <c r="G28">
        <v>5.8</v>
      </c>
      <c r="H28">
        <v>421.39</v>
      </c>
      <c r="I28">
        <v>5.3</v>
      </c>
      <c r="J28">
        <v>420.92</v>
      </c>
    </row>
    <row r="29" spans="1:10" x14ac:dyDescent="0.3">
      <c r="A29">
        <v>4.3499999999999996</v>
      </c>
      <c r="B29">
        <v>626.79</v>
      </c>
      <c r="C29">
        <v>4.3499999999999996</v>
      </c>
      <c r="D29">
        <v>627.84</v>
      </c>
      <c r="E29">
        <v>20.85</v>
      </c>
      <c r="F29">
        <v>599.85</v>
      </c>
      <c r="G29">
        <v>5.85</v>
      </c>
      <c r="H29">
        <v>421.69</v>
      </c>
      <c r="I29">
        <v>5.35</v>
      </c>
      <c r="J29">
        <v>421.18</v>
      </c>
    </row>
    <row r="30" spans="1:10" x14ac:dyDescent="0.3">
      <c r="A30">
        <v>4.4000000000000004</v>
      </c>
      <c r="B30">
        <v>625.30999999999995</v>
      </c>
      <c r="C30">
        <v>4.4000000000000004</v>
      </c>
      <c r="D30">
        <v>626.32000000000005</v>
      </c>
      <c r="E30">
        <v>20.9</v>
      </c>
      <c r="F30">
        <v>601.1</v>
      </c>
      <c r="G30">
        <v>5.9</v>
      </c>
      <c r="H30">
        <v>422</v>
      </c>
      <c r="I30">
        <v>5.4</v>
      </c>
      <c r="J30">
        <v>421.45</v>
      </c>
    </row>
    <row r="31" spans="1:10" x14ac:dyDescent="0.3">
      <c r="A31">
        <v>4.4499999999999904</v>
      </c>
      <c r="B31">
        <v>623.84</v>
      </c>
      <c r="C31">
        <v>4.4499999999999904</v>
      </c>
      <c r="D31">
        <v>624.80999999999995</v>
      </c>
      <c r="E31">
        <v>20.95</v>
      </c>
      <c r="F31">
        <v>602.36</v>
      </c>
      <c r="G31">
        <v>5.9499999999999904</v>
      </c>
      <c r="H31">
        <v>422.31</v>
      </c>
      <c r="I31">
        <v>5.4499999999999904</v>
      </c>
      <c r="J31">
        <v>421.72</v>
      </c>
    </row>
    <row r="32" spans="1:10" x14ac:dyDescent="0.3">
      <c r="A32">
        <v>4.4999999999999902</v>
      </c>
      <c r="B32">
        <v>622.38</v>
      </c>
      <c r="C32">
        <v>4.4999999999999902</v>
      </c>
      <c r="D32">
        <v>623.30999999999995</v>
      </c>
      <c r="E32">
        <v>21</v>
      </c>
      <c r="F32">
        <v>603.62</v>
      </c>
      <c r="G32">
        <v>5.9999999999999902</v>
      </c>
      <c r="H32">
        <v>422.62</v>
      </c>
      <c r="I32">
        <v>5.4999999999999902</v>
      </c>
      <c r="J32">
        <v>421.98</v>
      </c>
    </row>
    <row r="33" spans="1:10" x14ac:dyDescent="0.3">
      <c r="A33">
        <v>4.5499999999999901</v>
      </c>
      <c r="B33">
        <v>620.94000000000005</v>
      </c>
      <c r="C33">
        <v>4.5499999999999901</v>
      </c>
      <c r="D33">
        <v>621.82000000000005</v>
      </c>
      <c r="E33">
        <v>21.05</v>
      </c>
      <c r="F33">
        <v>604.89</v>
      </c>
      <c r="G33">
        <v>6.0499999999999901</v>
      </c>
      <c r="H33">
        <v>422.93</v>
      </c>
      <c r="I33">
        <v>5.5499999999999901</v>
      </c>
      <c r="J33">
        <v>422.25</v>
      </c>
    </row>
    <row r="34" spans="1:10" x14ac:dyDescent="0.3">
      <c r="A34">
        <v>4.5999999999999899</v>
      </c>
      <c r="B34">
        <v>619.5</v>
      </c>
      <c r="C34">
        <v>4.5999999999999899</v>
      </c>
      <c r="D34">
        <v>620.34</v>
      </c>
      <c r="E34">
        <v>21.1</v>
      </c>
      <c r="F34">
        <v>606.17999999999995</v>
      </c>
      <c r="G34">
        <v>6.0999999999999899</v>
      </c>
      <c r="H34">
        <v>423.24</v>
      </c>
      <c r="I34">
        <v>5.5999999999999899</v>
      </c>
      <c r="J34">
        <v>422.52</v>
      </c>
    </row>
    <row r="35" spans="1:10" x14ac:dyDescent="0.3">
      <c r="A35">
        <v>4.6499999999999897</v>
      </c>
      <c r="B35">
        <v>618.08000000000004</v>
      </c>
      <c r="C35">
        <v>4.6499999999999897</v>
      </c>
      <c r="D35">
        <v>618.88</v>
      </c>
      <c r="E35">
        <v>21.15</v>
      </c>
      <c r="F35">
        <v>607.47</v>
      </c>
      <c r="G35">
        <v>6.1499999999999897</v>
      </c>
      <c r="H35">
        <v>423.56</v>
      </c>
      <c r="I35">
        <v>5.6499999999999897</v>
      </c>
      <c r="J35">
        <v>422.79</v>
      </c>
    </row>
    <row r="36" spans="1:10" x14ac:dyDescent="0.3">
      <c r="A36">
        <v>4.6999999999999904</v>
      </c>
      <c r="B36">
        <v>616.66999999999996</v>
      </c>
      <c r="C36">
        <v>4.6999999999999904</v>
      </c>
      <c r="D36">
        <v>617.41999999999996</v>
      </c>
      <c r="E36">
        <v>21.2</v>
      </c>
      <c r="F36">
        <v>608.77</v>
      </c>
      <c r="G36">
        <v>6.1999999999999904</v>
      </c>
      <c r="H36">
        <v>423.87</v>
      </c>
      <c r="I36">
        <v>5.6999999999999904</v>
      </c>
      <c r="J36">
        <v>423.06</v>
      </c>
    </row>
    <row r="37" spans="1:10" x14ac:dyDescent="0.3">
      <c r="A37">
        <v>4.7499999999999902</v>
      </c>
      <c r="B37">
        <v>615.26</v>
      </c>
      <c r="C37">
        <v>4.7499999999999902</v>
      </c>
      <c r="D37">
        <v>615.98</v>
      </c>
      <c r="E37">
        <v>21.25</v>
      </c>
      <c r="F37">
        <v>610.08000000000004</v>
      </c>
      <c r="G37">
        <v>6.2499999999999902</v>
      </c>
      <c r="H37">
        <v>424.19</v>
      </c>
      <c r="I37">
        <v>5.7499999999999902</v>
      </c>
      <c r="J37">
        <v>423.33</v>
      </c>
    </row>
    <row r="38" spans="1:10" x14ac:dyDescent="0.3">
      <c r="A38">
        <v>4.7999999999999901</v>
      </c>
      <c r="B38">
        <v>613.87</v>
      </c>
      <c r="C38">
        <v>4.7999999999999901</v>
      </c>
      <c r="D38">
        <v>614.54</v>
      </c>
      <c r="E38">
        <v>21.3</v>
      </c>
      <c r="F38">
        <v>611.4</v>
      </c>
      <c r="G38">
        <v>6.2999999999999901</v>
      </c>
      <c r="H38">
        <v>424.51</v>
      </c>
      <c r="I38">
        <v>5.7999999999999901</v>
      </c>
      <c r="J38">
        <v>423.61</v>
      </c>
    </row>
    <row r="39" spans="1:10" x14ac:dyDescent="0.3">
      <c r="A39">
        <v>4.8499999999999899</v>
      </c>
      <c r="B39">
        <v>612.49</v>
      </c>
      <c r="C39">
        <v>4.8499999999999899</v>
      </c>
      <c r="D39">
        <v>613.12</v>
      </c>
      <c r="E39">
        <v>21.35</v>
      </c>
      <c r="F39">
        <v>612.74</v>
      </c>
      <c r="G39">
        <v>6.3499999999999899</v>
      </c>
      <c r="H39">
        <v>424.84</v>
      </c>
      <c r="I39">
        <v>5.8499999999999899</v>
      </c>
      <c r="J39">
        <v>423.88</v>
      </c>
    </row>
    <row r="40" spans="1:10" x14ac:dyDescent="0.3">
      <c r="A40">
        <v>4.8999999999999897</v>
      </c>
      <c r="B40">
        <v>611.11</v>
      </c>
      <c r="C40">
        <v>4.8999999999999897</v>
      </c>
      <c r="D40">
        <v>611.71</v>
      </c>
      <c r="E40">
        <v>21.4</v>
      </c>
      <c r="F40">
        <v>614.08000000000004</v>
      </c>
      <c r="G40">
        <v>6.3999999999999897</v>
      </c>
      <c r="H40">
        <v>425.16</v>
      </c>
      <c r="I40">
        <v>5.8999999999999897</v>
      </c>
      <c r="J40">
        <v>424.15</v>
      </c>
    </row>
    <row r="41" spans="1:10" x14ac:dyDescent="0.3">
      <c r="A41">
        <v>4.9499999999999904</v>
      </c>
      <c r="B41">
        <v>609.75</v>
      </c>
      <c r="C41">
        <v>4.9499999999999904</v>
      </c>
      <c r="D41">
        <v>610.30999999999995</v>
      </c>
      <c r="E41">
        <v>21.45</v>
      </c>
      <c r="F41">
        <v>615.42999999999995</v>
      </c>
      <c r="G41">
        <v>6.4499999999999904</v>
      </c>
      <c r="H41">
        <v>425.49</v>
      </c>
      <c r="I41">
        <v>5.9499999999999904</v>
      </c>
      <c r="J41">
        <v>424.43</v>
      </c>
    </row>
    <row r="42" spans="1:10" x14ac:dyDescent="0.3">
      <c r="A42">
        <v>4.9999999999999902</v>
      </c>
      <c r="B42">
        <v>608.4</v>
      </c>
      <c r="C42">
        <v>4.9999999999999902</v>
      </c>
      <c r="D42">
        <v>608.91999999999996</v>
      </c>
      <c r="E42">
        <v>21.5</v>
      </c>
      <c r="F42">
        <v>616.79</v>
      </c>
      <c r="G42">
        <v>6.4999999999999902</v>
      </c>
      <c r="H42">
        <v>425.82</v>
      </c>
      <c r="I42">
        <v>5.9999999999999902</v>
      </c>
      <c r="J42">
        <v>424.7</v>
      </c>
    </row>
    <row r="43" spans="1:10" x14ac:dyDescent="0.3">
      <c r="A43">
        <v>5.0499999999999901</v>
      </c>
      <c r="B43">
        <v>607.04999999999995</v>
      </c>
      <c r="C43">
        <v>5.0499999999999901</v>
      </c>
      <c r="D43">
        <v>607.54</v>
      </c>
      <c r="E43">
        <v>21.55</v>
      </c>
      <c r="F43">
        <v>618.16</v>
      </c>
      <c r="G43">
        <v>6.5499999999999901</v>
      </c>
      <c r="H43">
        <v>426.15</v>
      </c>
      <c r="I43">
        <v>6.0499999999999901</v>
      </c>
      <c r="J43">
        <v>424.98</v>
      </c>
    </row>
    <row r="44" spans="1:10" x14ac:dyDescent="0.3">
      <c r="A44">
        <v>5.0999999999999899</v>
      </c>
      <c r="B44">
        <v>605.72</v>
      </c>
      <c r="C44">
        <v>5.0999999999999899</v>
      </c>
      <c r="D44">
        <v>606.16999999999996</v>
      </c>
      <c r="E44">
        <v>21.6</v>
      </c>
      <c r="F44">
        <v>619.54</v>
      </c>
      <c r="G44">
        <v>6.5999999999999899</v>
      </c>
      <c r="H44">
        <v>426.48</v>
      </c>
      <c r="I44">
        <v>6.0999999999999899</v>
      </c>
      <c r="J44">
        <v>425.26</v>
      </c>
    </row>
    <row r="45" spans="1:10" x14ac:dyDescent="0.3">
      <c r="A45">
        <v>5.1499999999999897</v>
      </c>
      <c r="B45">
        <v>604.39</v>
      </c>
      <c r="C45">
        <v>5.1499999999999897</v>
      </c>
      <c r="D45">
        <v>604.80999999999995</v>
      </c>
      <c r="E45">
        <v>21.65</v>
      </c>
      <c r="F45">
        <v>620.92999999999995</v>
      </c>
      <c r="G45">
        <v>6.6499999999999897</v>
      </c>
      <c r="H45">
        <v>426.81</v>
      </c>
      <c r="I45">
        <v>6.1499999999999897</v>
      </c>
      <c r="J45">
        <v>425.53</v>
      </c>
    </row>
    <row r="46" spans="1:10" x14ac:dyDescent="0.3">
      <c r="A46">
        <v>5.1999999999999904</v>
      </c>
      <c r="B46">
        <v>603.08000000000004</v>
      </c>
      <c r="C46">
        <v>5.1999999999999904</v>
      </c>
      <c r="D46">
        <v>603.46</v>
      </c>
      <c r="E46">
        <v>21.7</v>
      </c>
      <c r="F46">
        <v>622.33000000000004</v>
      </c>
      <c r="G46">
        <v>6.6999999999999904</v>
      </c>
      <c r="H46">
        <v>427.14</v>
      </c>
      <c r="I46">
        <v>6.1999999999999904</v>
      </c>
      <c r="J46">
        <v>425.81</v>
      </c>
    </row>
    <row r="47" spans="1:10" x14ac:dyDescent="0.3">
      <c r="A47">
        <v>5.2499999999999902</v>
      </c>
      <c r="B47">
        <v>601.78</v>
      </c>
      <c r="C47">
        <v>5.2499999999999902</v>
      </c>
      <c r="D47">
        <v>602.12</v>
      </c>
      <c r="E47">
        <v>21.75</v>
      </c>
      <c r="F47">
        <v>623.75</v>
      </c>
      <c r="G47">
        <v>6.7499999999999902</v>
      </c>
      <c r="H47">
        <v>427.48</v>
      </c>
      <c r="I47">
        <v>6.2499999999999902</v>
      </c>
      <c r="J47">
        <v>426.09</v>
      </c>
    </row>
    <row r="48" spans="1:10" x14ac:dyDescent="0.3">
      <c r="A48">
        <v>5.2999999999999901</v>
      </c>
      <c r="B48">
        <v>600.48</v>
      </c>
      <c r="C48">
        <v>5.2999999999999901</v>
      </c>
      <c r="D48">
        <v>600.79</v>
      </c>
      <c r="E48">
        <v>21.8</v>
      </c>
      <c r="F48">
        <v>625.16999999999996</v>
      </c>
      <c r="G48">
        <v>6.7999999999999901</v>
      </c>
      <c r="H48">
        <v>427.82</v>
      </c>
      <c r="I48">
        <v>6.2999999999999901</v>
      </c>
      <c r="J48">
        <v>426.37</v>
      </c>
    </row>
    <row r="49" spans="1:10" x14ac:dyDescent="0.3">
      <c r="A49">
        <v>5.3499999999999899</v>
      </c>
      <c r="B49">
        <v>599.19000000000005</v>
      </c>
      <c r="C49">
        <v>5.3499999999999899</v>
      </c>
      <c r="D49">
        <v>599.47</v>
      </c>
      <c r="E49">
        <v>21.85</v>
      </c>
      <c r="F49">
        <v>626.61</v>
      </c>
      <c r="G49">
        <v>6.8499999999999899</v>
      </c>
      <c r="H49">
        <v>428.16</v>
      </c>
      <c r="I49">
        <v>6.3499999999999899</v>
      </c>
      <c r="J49">
        <v>426.66</v>
      </c>
    </row>
    <row r="50" spans="1:10" x14ac:dyDescent="0.3">
      <c r="A50">
        <v>5.3999999999999897</v>
      </c>
      <c r="B50">
        <v>597.91999999999996</v>
      </c>
      <c r="C50">
        <v>5.3999999999999897</v>
      </c>
      <c r="D50">
        <v>598.16</v>
      </c>
      <c r="E50">
        <v>21.9</v>
      </c>
      <c r="F50">
        <v>628.04999999999995</v>
      </c>
      <c r="G50">
        <v>6.8999999999999897</v>
      </c>
      <c r="H50">
        <v>428.5</v>
      </c>
      <c r="I50">
        <v>6.3999999999999897</v>
      </c>
      <c r="J50">
        <v>426.94</v>
      </c>
    </row>
    <row r="51" spans="1:10" x14ac:dyDescent="0.3">
      <c r="A51">
        <v>5.4499999999999904</v>
      </c>
      <c r="B51">
        <v>596.65</v>
      </c>
      <c r="C51">
        <v>5.4499999999999904</v>
      </c>
      <c r="D51">
        <v>596.86</v>
      </c>
      <c r="E51">
        <v>21.95</v>
      </c>
      <c r="F51">
        <v>629.51</v>
      </c>
      <c r="G51">
        <v>6.9499999999999904</v>
      </c>
      <c r="H51">
        <v>428.85</v>
      </c>
      <c r="I51">
        <v>6.4499999999999904</v>
      </c>
      <c r="J51">
        <v>427.22</v>
      </c>
    </row>
    <row r="52" spans="1:10" x14ac:dyDescent="0.3">
      <c r="A52">
        <v>5.4999999999999902</v>
      </c>
      <c r="B52">
        <v>595.39</v>
      </c>
      <c r="C52">
        <v>5.4999999999999902</v>
      </c>
      <c r="D52">
        <v>595.57000000000005</v>
      </c>
      <c r="E52">
        <v>22</v>
      </c>
      <c r="F52">
        <v>630.98</v>
      </c>
      <c r="G52">
        <v>6.9999999999999902</v>
      </c>
      <c r="H52">
        <v>429.19</v>
      </c>
      <c r="I52">
        <v>6.4999999999999902</v>
      </c>
      <c r="J52">
        <v>427.51</v>
      </c>
    </row>
    <row r="53" spans="1:10" x14ac:dyDescent="0.3">
      <c r="A53">
        <v>5.5499999999999901</v>
      </c>
      <c r="B53">
        <v>594.14</v>
      </c>
      <c r="C53">
        <v>5.5499999999999901</v>
      </c>
      <c r="D53">
        <v>594.28</v>
      </c>
      <c r="E53">
        <v>22.05</v>
      </c>
      <c r="F53">
        <v>632.46</v>
      </c>
      <c r="G53">
        <v>7.0499999999999901</v>
      </c>
      <c r="H53">
        <v>429.54</v>
      </c>
      <c r="I53">
        <v>6.5499999999999901</v>
      </c>
      <c r="J53">
        <v>427.79</v>
      </c>
    </row>
    <row r="54" spans="1:10" x14ac:dyDescent="0.3">
      <c r="A54">
        <v>5.5999999999999899</v>
      </c>
      <c r="B54">
        <v>592.9</v>
      </c>
      <c r="C54">
        <v>5.5999999999999899</v>
      </c>
      <c r="D54">
        <v>593.01</v>
      </c>
      <c r="E54">
        <v>22.1</v>
      </c>
      <c r="F54">
        <v>633.95000000000005</v>
      </c>
      <c r="G54">
        <v>7.0999999999999899</v>
      </c>
      <c r="H54">
        <v>429.89</v>
      </c>
      <c r="I54">
        <v>6.5999999999999899</v>
      </c>
      <c r="J54">
        <v>428.08</v>
      </c>
    </row>
    <row r="55" spans="1:10" x14ac:dyDescent="0.3">
      <c r="A55">
        <v>5.6499999999999897</v>
      </c>
      <c r="B55">
        <v>591.66999999999996</v>
      </c>
      <c r="C55">
        <v>5.6499999999999897</v>
      </c>
      <c r="D55">
        <v>591.75</v>
      </c>
      <c r="E55">
        <v>22.15</v>
      </c>
      <c r="F55">
        <v>635.46</v>
      </c>
      <c r="G55">
        <v>7.1499999999999897</v>
      </c>
      <c r="H55">
        <v>430.24</v>
      </c>
      <c r="I55">
        <v>6.6499999999999897</v>
      </c>
      <c r="J55">
        <v>428.37</v>
      </c>
    </row>
    <row r="56" spans="1:10" x14ac:dyDescent="0.3">
      <c r="A56">
        <v>5.6999999999999904</v>
      </c>
      <c r="B56">
        <v>590.45000000000005</v>
      </c>
      <c r="C56">
        <v>5.6999999999999904</v>
      </c>
      <c r="D56">
        <v>590.5</v>
      </c>
      <c r="E56">
        <v>22.2</v>
      </c>
      <c r="F56">
        <v>636.97</v>
      </c>
      <c r="G56">
        <v>7.1999999999999904</v>
      </c>
      <c r="H56">
        <v>430.59</v>
      </c>
      <c r="I56">
        <v>6.6999999999999904</v>
      </c>
      <c r="J56">
        <v>428.65</v>
      </c>
    </row>
    <row r="57" spans="1:10" x14ac:dyDescent="0.3">
      <c r="A57">
        <v>5.7499999999999902</v>
      </c>
      <c r="B57">
        <v>589.24</v>
      </c>
      <c r="C57">
        <v>5.7499999999999902</v>
      </c>
      <c r="D57">
        <v>589.25</v>
      </c>
      <c r="E57">
        <v>22.25</v>
      </c>
      <c r="F57">
        <v>638.5</v>
      </c>
      <c r="G57">
        <v>7.2499999999999902</v>
      </c>
      <c r="H57">
        <v>430.95</v>
      </c>
      <c r="I57">
        <v>6.7499999999999902</v>
      </c>
      <c r="J57">
        <v>428.94</v>
      </c>
    </row>
    <row r="58" spans="1:10" x14ac:dyDescent="0.3">
      <c r="A58">
        <v>5.7999999999999901</v>
      </c>
      <c r="B58">
        <v>588.03</v>
      </c>
      <c r="C58">
        <v>5.7999999999999901</v>
      </c>
      <c r="D58">
        <v>588.02</v>
      </c>
      <c r="E58">
        <v>22.3</v>
      </c>
      <c r="F58">
        <v>640.04</v>
      </c>
      <c r="G58">
        <v>7.2999999999999901</v>
      </c>
      <c r="H58">
        <v>431.3</v>
      </c>
      <c r="I58">
        <v>6.7999999999999901</v>
      </c>
      <c r="J58">
        <v>429.24</v>
      </c>
    </row>
    <row r="59" spans="1:10" x14ac:dyDescent="0.3">
      <c r="A59">
        <v>5.8499999999999899</v>
      </c>
      <c r="B59">
        <v>586.83000000000004</v>
      </c>
      <c r="C59">
        <v>5.8499999999999899</v>
      </c>
      <c r="D59">
        <v>586.79999999999995</v>
      </c>
      <c r="E59">
        <v>22.35</v>
      </c>
      <c r="F59">
        <v>641.6</v>
      </c>
      <c r="G59">
        <v>7.3499999999999899</v>
      </c>
      <c r="H59">
        <v>431.66</v>
      </c>
      <c r="I59">
        <v>6.8499999999999899</v>
      </c>
      <c r="J59">
        <v>429.53</v>
      </c>
    </row>
    <row r="60" spans="1:10" x14ac:dyDescent="0.3">
      <c r="A60">
        <v>5.8999999999999897</v>
      </c>
      <c r="B60">
        <v>585.65</v>
      </c>
      <c r="C60">
        <v>5.8999999999999897</v>
      </c>
      <c r="D60">
        <v>585.58000000000004</v>
      </c>
      <c r="E60">
        <v>22.4</v>
      </c>
      <c r="F60">
        <v>643.16</v>
      </c>
      <c r="G60">
        <v>7.3999999999999897</v>
      </c>
      <c r="H60">
        <v>432.02</v>
      </c>
      <c r="I60">
        <v>6.8999999999999897</v>
      </c>
      <c r="J60">
        <v>429.82</v>
      </c>
    </row>
    <row r="61" spans="1:10" x14ac:dyDescent="0.3">
      <c r="A61">
        <v>5.9499999999999904</v>
      </c>
      <c r="B61">
        <v>584.47</v>
      </c>
      <c r="C61">
        <v>5.9499999999999904</v>
      </c>
      <c r="D61">
        <v>584.37</v>
      </c>
      <c r="E61">
        <v>22.45</v>
      </c>
      <c r="F61">
        <v>644.74</v>
      </c>
      <c r="G61">
        <v>7.4499999999999904</v>
      </c>
      <c r="H61">
        <v>432.38</v>
      </c>
      <c r="I61">
        <v>6.9499999999999904</v>
      </c>
      <c r="J61">
        <v>430.11</v>
      </c>
    </row>
    <row r="62" spans="1:10" x14ac:dyDescent="0.3">
      <c r="A62">
        <v>5.9999999999999902</v>
      </c>
      <c r="B62">
        <v>583.29999999999995</v>
      </c>
      <c r="C62">
        <v>5.9999999999999902</v>
      </c>
      <c r="D62">
        <v>583.16999999999996</v>
      </c>
      <c r="E62">
        <v>22.5</v>
      </c>
      <c r="F62">
        <v>646.33000000000004</v>
      </c>
      <c r="G62">
        <v>7.4999999999999902</v>
      </c>
      <c r="H62">
        <v>432.74</v>
      </c>
      <c r="I62">
        <v>6.9999999999999902</v>
      </c>
      <c r="J62">
        <v>430.41</v>
      </c>
    </row>
    <row r="63" spans="1:10" x14ac:dyDescent="0.3">
      <c r="A63">
        <v>6.0499999999999901</v>
      </c>
      <c r="B63">
        <v>582.14</v>
      </c>
      <c r="C63">
        <v>6.0499999999999901</v>
      </c>
      <c r="D63">
        <v>581.98</v>
      </c>
      <c r="E63">
        <v>22.55</v>
      </c>
      <c r="F63">
        <v>647.94000000000005</v>
      </c>
      <c r="G63">
        <v>7.5499999999999901</v>
      </c>
      <c r="H63">
        <v>433.11</v>
      </c>
      <c r="I63">
        <v>7.0499999999999901</v>
      </c>
      <c r="J63">
        <v>430.71</v>
      </c>
    </row>
    <row r="64" spans="1:10" x14ac:dyDescent="0.3">
      <c r="A64">
        <v>6.0999999999999899</v>
      </c>
      <c r="B64">
        <v>580.98</v>
      </c>
      <c r="C64">
        <v>6.0999999999999899</v>
      </c>
      <c r="D64">
        <v>580.79999999999995</v>
      </c>
      <c r="E64">
        <v>22.6</v>
      </c>
      <c r="F64">
        <v>649.55999999999995</v>
      </c>
      <c r="G64">
        <v>7.5999999999999899</v>
      </c>
      <c r="H64">
        <v>433.47</v>
      </c>
      <c r="I64">
        <v>7.0999999999999899</v>
      </c>
      <c r="J64">
        <v>431</v>
      </c>
    </row>
    <row r="65" spans="1:10" x14ac:dyDescent="0.3">
      <c r="A65">
        <v>6.1499999999999897</v>
      </c>
      <c r="B65">
        <v>579.84</v>
      </c>
      <c r="C65">
        <v>6.1499999999999897</v>
      </c>
      <c r="D65">
        <v>579.63</v>
      </c>
      <c r="E65">
        <v>22.65</v>
      </c>
      <c r="F65">
        <v>651.19000000000005</v>
      </c>
      <c r="G65">
        <v>7.6499999999999897</v>
      </c>
      <c r="H65">
        <v>433.84</v>
      </c>
      <c r="I65">
        <v>7.1499999999999897</v>
      </c>
      <c r="J65">
        <v>431.3</v>
      </c>
    </row>
    <row r="66" spans="1:10" x14ac:dyDescent="0.3">
      <c r="A66">
        <v>6.1999999999999904</v>
      </c>
      <c r="B66">
        <v>578.70000000000005</v>
      </c>
      <c r="C66">
        <v>6.1999999999999904</v>
      </c>
      <c r="D66">
        <v>578.47</v>
      </c>
      <c r="E66">
        <v>22.7</v>
      </c>
      <c r="F66">
        <v>652.83000000000004</v>
      </c>
      <c r="G66">
        <v>7.6999999999999904</v>
      </c>
      <c r="H66">
        <v>434.21</v>
      </c>
      <c r="I66">
        <v>7.1999999999999904</v>
      </c>
      <c r="J66">
        <v>431.6</v>
      </c>
    </row>
    <row r="67" spans="1:10" x14ac:dyDescent="0.3">
      <c r="A67">
        <v>6.2499999999999902</v>
      </c>
      <c r="B67">
        <v>577.57000000000005</v>
      </c>
      <c r="C67">
        <v>6.2499999999999902</v>
      </c>
      <c r="D67">
        <v>577.30999999999995</v>
      </c>
      <c r="E67">
        <v>22.75</v>
      </c>
      <c r="F67">
        <v>654.49</v>
      </c>
      <c r="G67">
        <v>7.7499999999999902</v>
      </c>
      <c r="H67">
        <v>434.58</v>
      </c>
      <c r="I67">
        <v>7.2499999999999902</v>
      </c>
      <c r="J67">
        <v>431.9</v>
      </c>
    </row>
    <row r="68" spans="1:10" x14ac:dyDescent="0.3">
      <c r="A68">
        <v>6.2999999999999901</v>
      </c>
      <c r="B68">
        <v>576.45000000000005</v>
      </c>
      <c r="C68">
        <v>6.2999999999999901</v>
      </c>
      <c r="D68">
        <v>576.16999999999996</v>
      </c>
      <c r="E68">
        <v>22.8000000000001</v>
      </c>
      <c r="F68">
        <v>656.17</v>
      </c>
      <c r="G68">
        <v>7.7999999999999901</v>
      </c>
      <c r="H68">
        <v>434.96</v>
      </c>
      <c r="I68">
        <v>7.2999999999999901</v>
      </c>
      <c r="J68">
        <v>432.2</v>
      </c>
    </row>
    <row r="69" spans="1:10" x14ac:dyDescent="0.3">
      <c r="A69">
        <v>6.3499999999999899</v>
      </c>
      <c r="B69">
        <v>575.33000000000004</v>
      </c>
      <c r="C69">
        <v>6.3499999999999899</v>
      </c>
      <c r="D69">
        <v>575.03</v>
      </c>
      <c r="E69">
        <v>22.850000000000101</v>
      </c>
      <c r="F69">
        <v>657.85</v>
      </c>
      <c r="G69">
        <v>7.8499999999999899</v>
      </c>
      <c r="H69">
        <v>435.33</v>
      </c>
      <c r="I69">
        <v>7.3499999999999899</v>
      </c>
      <c r="J69">
        <v>432.51</v>
      </c>
    </row>
    <row r="70" spans="1:10" x14ac:dyDescent="0.3">
      <c r="A70">
        <v>6.3999999999999897</v>
      </c>
      <c r="B70">
        <v>574.23</v>
      </c>
      <c r="C70">
        <v>6.3999999999999897</v>
      </c>
      <c r="D70">
        <v>573.9</v>
      </c>
      <c r="E70">
        <v>22.9</v>
      </c>
      <c r="F70">
        <v>659.55</v>
      </c>
      <c r="G70">
        <v>7.8999999999999897</v>
      </c>
      <c r="H70">
        <v>435.71</v>
      </c>
      <c r="I70">
        <v>7.3999999999999897</v>
      </c>
      <c r="J70">
        <v>432.81</v>
      </c>
    </row>
    <row r="71" spans="1:10" x14ac:dyDescent="0.3">
      <c r="A71">
        <v>6.4499999999999904</v>
      </c>
      <c r="B71">
        <v>573.13</v>
      </c>
      <c r="C71">
        <v>6.4499999999999904</v>
      </c>
      <c r="D71">
        <v>572.78</v>
      </c>
      <c r="E71">
        <v>22.95</v>
      </c>
      <c r="F71">
        <v>661.27</v>
      </c>
      <c r="G71">
        <v>7.9499999999999904</v>
      </c>
      <c r="H71">
        <v>436.09</v>
      </c>
      <c r="I71">
        <v>7.4499999999999904</v>
      </c>
      <c r="J71">
        <v>433.12</v>
      </c>
    </row>
    <row r="72" spans="1:10" x14ac:dyDescent="0.3">
      <c r="A72">
        <v>6.4999999999999902</v>
      </c>
      <c r="B72">
        <v>572.04</v>
      </c>
      <c r="C72">
        <v>6.4999999999999902</v>
      </c>
      <c r="D72">
        <v>571.66</v>
      </c>
      <c r="E72">
        <v>23</v>
      </c>
      <c r="F72">
        <v>663</v>
      </c>
      <c r="G72">
        <v>7.9999999999999902</v>
      </c>
      <c r="H72">
        <v>436.47</v>
      </c>
      <c r="I72">
        <v>7.4999999999999902</v>
      </c>
      <c r="J72">
        <v>433.43</v>
      </c>
    </row>
    <row r="73" spans="1:10" x14ac:dyDescent="0.3">
      <c r="A73">
        <v>6.5499999999999901</v>
      </c>
      <c r="B73">
        <v>570.96</v>
      </c>
      <c r="C73">
        <v>6.5499999999999901</v>
      </c>
      <c r="D73">
        <v>570.55999999999995</v>
      </c>
      <c r="E73">
        <v>23.0500000000001</v>
      </c>
      <c r="F73">
        <v>664.75</v>
      </c>
      <c r="G73">
        <v>8.0499999999999901</v>
      </c>
      <c r="H73">
        <v>436.85</v>
      </c>
      <c r="I73">
        <v>7.5499999999999901</v>
      </c>
      <c r="J73">
        <v>433.73</v>
      </c>
    </row>
    <row r="74" spans="1:10" x14ac:dyDescent="0.3">
      <c r="A74">
        <v>6.5999999999999899</v>
      </c>
      <c r="B74">
        <v>569.88</v>
      </c>
      <c r="C74">
        <v>6.5999999999999899</v>
      </c>
      <c r="D74">
        <v>569.46</v>
      </c>
      <c r="E74">
        <v>23.100000000000101</v>
      </c>
      <c r="F74">
        <v>666.51</v>
      </c>
      <c r="G74">
        <v>8.0999999999999908</v>
      </c>
      <c r="H74">
        <v>437.23</v>
      </c>
      <c r="I74">
        <v>7.5999999999999899</v>
      </c>
      <c r="J74">
        <v>434.04</v>
      </c>
    </row>
    <row r="75" spans="1:10" x14ac:dyDescent="0.3">
      <c r="A75">
        <v>6.6499999999999897</v>
      </c>
      <c r="B75">
        <v>568.82000000000005</v>
      </c>
      <c r="C75">
        <v>6.6499999999999897</v>
      </c>
      <c r="D75">
        <v>568.37</v>
      </c>
      <c r="E75">
        <v>23.15</v>
      </c>
      <c r="F75">
        <v>668.28</v>
      </c>
      <c r="G75">
        <v>8.1499999999999897</v>
      </c>
      <c r="H75">
        <v>437.62</v>
      </c>
      <c r="I75">
        <v>7.6499999999999897</v>
      </c>
      <c r="J75">
        <v>434.35</v>
      </c>
    </row>
    <row r="76" spans="1:10" x14ac:dyDescent="0.3">
      <c r="A76">
        <v>6.6999999999999904</v>
      </c>
      <c r="B76">
        <v>567.76</v>
      </c>
      <c r="C76">
        <v>6.6999999999999904</v>
      </c>
      <c r="D76">
        <v>567.29</v>
      </c>
      <c r="E76">
        <v>23.2</v>
      </c>
      <c r="F76">
        <v>670.07</v>
      </c>
      <c r="G76">
        <v>8.1999999999999904</v>
      </c>
      <c r="H76">
        <v>438</v>
      </c>
      <c r="I76">
        <v>7.6999999999999904</v>
      </c>
      <c r="J76">
        <v>434.67</v>
      </c>
    </row>
    <row r="77" spans="1:10" x14ac:dyDescent="0.3">
      <c r="A77">
        <v>6.7499999999999902</v>
      </c>
      <c r="B77">
        <v>566.71</v>
      </c>
      <c r="C77">
        <v>6.7499999999999902</v>
      </c>
      <c r="D77">
        <v>566.22</v>
      </c>
      <c r="E77">
        <v>23.25</v>
      </c>
      <c r="F77">
        <v>671.88</v>
      </c>
      <c r="G77">
        <v>8.2499999999999893</v>
      </c>
      <c r="H77">
        <v>438.39</v>
      </c>
      <c r="I77">
        <v>7.7499999999999902</v>
      </c>
      <c r="J77">
        <v>434.98</v>
      </c>
    </row>
    <row r="78" spans="1:10" x14ac:dyDescent="0.3">
      <c r="A78">
        <v>6.7999999999999901</v>
      </c>
      <c r="B78">
        <v>565.66</v>
      </c>
      <c r="C78">
        <v>6.7999999999999901</v>
      </c>
      <c r="D78">
        <v>565.15</v>
      </c>
      <c r="E78">
        <v>23.3000000000001</v>
      </c>
      <c r="F78">
        <v>673.7</v>
      </c>
      <c r="G78">
        <v>8.2999999999999901</v>
      </c>
      <c r="H78">
        <v>438.78</v>
      </c>
      <c r="I78">
        <v>7.7999999999999901</v>
      </c>
      <c r="J78">
        <v>435.3</v>
      </c>
    </row>
    <row r="79" spans="1:10" x14ac:dyDescent="0.3">
      <c r="A79">
        <v>6.8499999999999899</v>
      </c>
      <c r="B79">
        <v>564.62</v>
      </c>
      <c r="C79">
        <v>6.8499999999999899</v>
      </c>
      <c r="D79">
        <v>564.09</v>
      </c>
      <c r="E79">
        <v>23.350000000000101</v>
      </c>
      <c r="F79">
        <v>675.54</v>
      </c>
      <c r="G79">
        <v>8.3499999999999908</v>
      </c>
      <c r="H79">
        <v>439.18</v>
      </c>
      <c r="I79">
        <v>7.8499999999999899</v>
      </c>
      <c r="J79">
        <v>435.61</v>
      </c>
    </row>
    <row r="80" spans="1:10" x14ac:dyDescent="0.3">
      <c r="A80">
        <v>6.8999999999999897</v>
      </c>
      <c r="B80">
        <v>563.59</v>
      </c>
      <c r="C80">
        <v>6.8999999999999897</v>
      </c>
      <c r="D80">
        <v>563.04</v>
      </c>
      <c r="E80">
        <v>23.400000000000102</v>
      </c>
      <c r="F80">
        <v>677.4</v>
      </c>
      <c r="G80">
        <v>8.3999999999999897</v>
      </c>
      <c r="H80">
        <v>439.57</v>
      </c>
      <c r="I80">
        <v>7.8999999999999897</v>
      </c>
      <c r="J80">
        <v>435.93</v>
      </c>
    </row>
    <row r="81" spans="1:10" x14ac:dyDescent="0.3">
      <c r="A81">
        <v>6.9499999999999904</v>
      </c>
      <c r="B81">
        <v>562.57000000000005</v>
      </c>
      <c r="C81">
        <v>6.9499999999999904</v>
      </c>
      <c r="D81">
        <v>562</v>
      </c>
      <c r="E81">
        <v>23.450000000000099</v>
      </c>
      <c r="F81">
        <v>679.27</v>
      </c>
      <c r="G81">
        <v>8.4499999999999904</v>
      </c>
      <c r="H81">
        <v>439.97</v>
      </c>
      <c r="I81">
        <v>7.9499999999999904</v>
      </c>
      <c r="J81">
        <v>436.25</v>
      </c>
    </row>
    <row r="82" spans="1:10" x14ac:dyDescent="0.3">
      <c r="A82">
        <v>6.9999999999999902</v>
      </c>
      <c r="B82">
        <v>561.54999999999995</v>
      </c>
      <c r="C82">
        <v>6.9999999999999902</v>
      </c>
      <c r="D82">
        <v>560.96</v>
      </c>
      <c r="E82">
        <v>23.500000000000099</v>
      </c>
      <c r="F82">
        <v>681.16</v>
      </c>
      <c r="G82">
        <v>8.4999999999999893</v>
      </c>
      <c r="H82">
        <v>440.36</v>
      </c>
      <c r="I82">
        <v>7.9999999999999902</v>
      </c>
      <c r="J82">
        <v>436.57</v>
      </c>
    </row>
    <row r="83" spans="1:10" x14ac:dyDescent="0.3">
      <c r="A83">
        <v>7.0499999999999901</v>
      </c>
      <c r="B83">
        <v>560.54</v>
      </c>
      <c r="C83">
        <v>7.0499999999999901</v>
      </c>
      <c r="D83">
        <v>559.92999999999995</v>
      </c>
      <c r="E83">
        <v>23.5500000000001</v>
      </c>
      <c r="F83">
        <v>683.06</v>
      </c>
      <c r="G83">
        <v>8.5499999999999901</v>
      </c>
      <c r="H83">
        <v>440.76</v>
      </c>
      <c r="I83">
        <v>8.0499999999999901</v>
      </c>
      <c r="J83">
        <v>436.89</v>
      </c>
    </row>
    <row r="84" spans="1:10" x14ac:dyDescent="0.3">
      <c r="A84">
        <v>7.0999999999999899</v>
      </c>
      <c r="B84">
        <v>559.54</v>
      </c>
      <c r="C84">
        <v>7.0999999999999899</v>
      </c>
      <c r="D84">
        <v>558.91</v>
      </c>
      <c r="E84">
        <v>23.600000000000101</v>
      </c>
      <c r="F84">
        <v>684.99</v>
      </c>
      <c r="G84">
        <v>8.5999999999999908</v>
      </c>
      <c r="H84">
        <v>441.16</v>
      </c>
      <c r="I84">
        <v>8.0999999999999908</v>
      </c>
      <c r="J84">
        <v>437.21</v>
      </c>
    </row>
    <row r="85" spans="1:10" x14ac:dyDescent="0.3">
      <c r="A85">
        <v>7.1499999999999897</v>
      </c>
      <c r="B85">
        <v>558.54999999999995</v>
      </c>
      <c r="C85">
        <v>7.1499999999999897</v>
      </c>
      <c r="D85">
        <v>557.9</v>
      </c>
      <c r="E85">
        <v>23.650000000000102</v>
      </c>
      <c r="F85">
        <v>686.93</v>
      </c>
      <c r="G85">
        <v>8.6499999999999897</v>
      </c>
      <c r="H85">
        <v>441.57</v>
      </c>
      <c r="I85">
        <v>8.1499999999999897</v>
      </c>
      <c r="J85">
        <v>437.54</v>
      </c>
    </row>
    <row r="86" spans="1:10" x14ac:dyDescent="0.3">
      <c r="A86">
        <v>7.1999999999999904</v>
      </c>
      <c r="B86">
        <v>557.55999999999995</v>
      </c>
      <c r="C86">
        <v>7.1999999999999904</v>
      </c>
      <c r="D86">
        <v>556.89</v>
      </c>
      <c r="E86">
        <v>23.700000000000099</v>
      </c>
      <c r="F86">
        <v>688.89</v>
      </c>
      <c r="G86">
        <v>8.6999999999999904</v>
      </c>
      <c r="H86">
        <v>441.97</v>
      </c>
      <c r="I86">
        <v>8.1999999999999904</v>
      </c>
      <c r="J86">
        <v>437.87</v>
      </c>
    </row>
    <row r="87" spans="1:10" x14ac:dyDescent="0.3">
      <c r="A87">
        <v>7.2499999999999796</v>
      </c>
      <c r="B87">
        <v>556.58000000000004</v>
      </c>
      <c r="C87">
        <v>7.2499999999999796</v>
      </c>
      <c r="D87">
        <v>555.89</v>
      </c>
      <c r="E87">
        <v>23.750000000000099</v>
      </c>
      <c r="F87">
        <v>690.86</v>
      </c>
      <c r="G87">
        <v>8.7499999999999805</v>
      </c>
      <c r="H87">
        <v>442.38</v>
      </c>
      <c r="I87">
        <v>8.2499999999999805</v>
      </c>
      <c r="J87">
        <v>438.19</v>
      </c>
    </row>
    <row r="88" spans="1:10" x14ac:dyDescent="0.3">
      <c r="A88">
        <v>7.2999999999999803</v>
      </c>
      <c r="B88">
        <v>555.6</v>
      </c>
      <c r="C88">
        <v>7.2999999999999803</v>
      </c>
      <c r="D88">
        <v>554.9</v>
      </c>
      <c r="E88">
        <v>23.8000000000001</v>
      </c>
      <c r="F88">
        <v>692.86</v>
      </c>
      <c r="G88">
        <v>8.7999999999999794</v>
      </c>
      <c r="H88">
        <v>442.79</v>
      </c>
      <c r="I88">
        <v>8.2999999999999794</v>
      </c>
      <c r="J88">
        <v>438.52</v>
      </c>
    </row>
    <row r="89" spans="1:10" x14ac:dyDescent="0.3">
      <c r="A89">
        <v>7.3499999999999801</v>
      </c>
      <c r="B89">
        <v>554.64</v>
      </c>
      <c r="C89">
        <v>7.3499999999999801</v>
      </c>
      <c r="D89">
        <v>553.91999999999996</v>
      </c>
      <c r="E89">
        <v>23.850000000000101</v>
      </c>
      <c r="F89">
        <v>694.87</v>
      </c>
      <c r="G89">
        <v>8.8499999999999801</v>
      </c>
      <c r="H89">
        <v>443.2</v>
      </c>
      <c r="I89">
        <v>8.3499999999999801</v>
      </c>
      <c r="J89">
        <v>438.85</v>
      </c>
    </row>
    <row r="90" spans="1:10" x14ac:dyDescent="0.3">
      <c r="A90">
        <v>7.3999999999999799</v>
      </c>
      <c r="B90">
        <v>553.66999999999996</v>
      </c>
      <c r="C90">
        <v>7.3999999999999799</v>
      </c>
      <c r="D90">
        <v>552.94000000000005</v>
      </c>
      <c r="E90">
        <v>23.900000000000102</v>
      </c>
      <c r="F90">
        <v>696.9</v>
      </c>
      <c r="G90">
        <v>8.8999999999999808</v>
      </c>
      <c r="H90">
        <v>443.61</v>
      </c>
      <c r="I90">
        <v>8.3999999999999808</v>
      </c>
      <c r="J90">
        <v>439.19</v>
      </c>
    </row>
    <row r="91" spans="1:10" x14ac:dyDescent="0.3">
      <c r="A91">
        <v>7.4499999999999797</v>
      </c>
      <c r="B91">
        <v>552.72</v>
      </c>
      <c r="C91">
        <v>7.4499999999999797</v>
      </c>
      <c r="D91">
        <v>551.96</v>
      </c>
      <c r="E91">
        <v>23.950000000000099</v>
      </c>
      <c r="F91">
        <v>698.95</v>
      </c>
      <c r="G91">
        <v>8.9499999999999797</v>
      </c>
      <c r="H91">
        <v>444.02</v>
      </c>
      <c r="I91">
        <v>8.4499999999999797</v>
      </c>
      <c r="J91">
        <v>439.52</v>
      </c>
    </row>
    <row r="92" spans="1:10" x14ac:dyDescent="0.3">
      <c r="A92">
        <v>7.4999999999999796</v>
      </c>
      <c r="B92">
        <v>551.77</v>
      </c>
      <c r="C92">
        <v>7.4999999999999796</v>
      </c>
      <c r="D92">
        <v>551</v>
      </c>
      <c r="E92">
        <v>24.000000000000099</v>
      </c>
      <c r="F92">
        <v>701.02</v>
      </c>
      <c r="G92">
        <v>8.9999999999999805</v>
      </c>
      <c r="H92">
        <v>444.44</v>
      </c>
      <c r="I92">
        <v>8.4999999999999805</v>
      </c>
      <c r="J92">
        <v>439.86</v>
      </c>
    </row>
    <row r="93" spans="1:10" x14ac:dyDescent="0.3">
      <c r="A93">
        <v>7.5499999999999803</v>
      </c>
      <c r="B93">
        <v>550.83000000000004</v>
      </c>
      <c r="C93">
        <v>7.5499999999999803</v>
      </c>
      <c r="D93">
        <v>550.04</v>
      </c>
      <c r="E93">
        <v>24.0500000000001</v>
      </c>
      <c r="F93">
        <v>703.11</v>
      </c>
      <c r="G93">
        <v>9.0499999999999794</v>
      </c>
      <c r="H93">
        <v>444.86</v>
      </c>
      <c r="I93">
        <v>8.5499999999999794</v>
      </c>
      <c r="J93">
        <v>440.19</v>
      </c>
    </row>
    <row r="94" spans="1:10" x14ac:dyDescent="0.3">
      <c r="A94">
        <v>7.5999999999999801</v>
      </c>
      <c r="B94">
        <v>549.89</v>
      </c>
      <c r="C94">
        <v>7.5999999999999801</v>
      </c>
      <c r="D94">
        <v>549.09</v>
      </c>
      <c r="E94">
        <v>24.100000000000101</v>
      </c>
      <c r="F94">
        <v>705.22</v>
      </c>
      <c r="G94">
        <v>9.0999999999999801</v>
      </c>
      <c r="H94">
        <v>445.28</v>
      </c>
      <c r="I94">
        <v>8.5999999999999801</v>
      </c>
      <c r="J94">
        <v>440.53</v>
      </c>
    </row>
    <row r="95" spans="1:10" x14ac:dyDescent="0.3">
      <c r="A95">
        <v>7.6499999999999799</v>
      </c>
      <c r="B95">
        <v>548.96</v>
      </c>
      <c r="C95">
        <v>7.6499999999999799</v>
      </c>
      <c r="D95">
        <v>548.14</v>
      </c>
      <c r="E95">
        <v>24.150000000000102</v>
      </c>
      <c r="F95">
        <v>707.34</v>
      </c>
      <c r="G95">
        <v>9.1499999999999808</v>
      </c>
      <c r="H95">
        <v>445.7</v>
      </c>
      <c r="I95">
        <v>8.6499999999999808</v>
      </c>
      <c r="J95">
        <v>440.87</v>
      </c>
    </row>
    <row r="96" spans="1:10" x14ac:dyDescent="0.3">
      <c r="A96">
        <v>7.6999999999999797</v>
      </c>
      <c r="B96">
        <v>548.04</v>
      </c>
      <c r="C96">
        <v>7.6999999999999797</v>
      </c>
      <c r="D96">
        <v>547.21</v>
      </c>
      <c r="E96">
        <v>24.200000000000099</v>
      </c>
      <c r="F96">
        <v>709.49</v>
      </c>
      <c r="G96">
        <v>9.1999999999999797</v>
      </c>
      <c r="H96">
        <v>446.12</v>
      </c>
      <c r="I96">
        <v>8.6999999999999797</v>
      </c>
      <c r="J96">
        <v>441.21</v>
      </c>
    </row>
    <row r="97" spans="1:10" x14ac:dyDescent="0.3">
      <c r="A97">
        <v>7.7499999999999796</v>
      </c>
      <c r="B97">
        <v>547.12</v>
      </c>
      <c r="C97">
        <v>7.7499999999999796</v>
      </c>
      <c r="D97">
        <v>546.27</v>
      </c>
      <c r="E97">
        <v>24.250000000000099</v>
      </c>
      <c r="F97">
        <v>711.66</v>
      </c>
      <c r="G97">
        <v>9.2499999999999805</v>
      </c>
      <c r="H97">
        <v>446.55</v>
      </c>
      <c r="I97">
        <v>8.7499999999999805</v>
      </c>
      <c r="J97">
        <v>441.56</v>
      </c>
    </row>
    <row r="98" spans="1:10" x14ac:dyDescent="0.3">
      <c r="A98">
        <v>7.7999999999999803</v>
      </c>
      <c r="B98">
        <v>546.21</v>
      </c>
      <c r="C98">
        <v>7.7999999999999803</v>
      </c>
      <c r="D98">
        <v>545.35</v>
      </c>
      <c r="E98">
        <v>24.3000000000001</v>
      </c>
      <c r="F98">
        <v>713.85</v>
      </c>
      <c r="G98">
        <v>9.2999999999999794</v>
      </c>
      <c r="H98">
        <v>446.98</v>
      </c>
      <c r="I98">
        <v>8.7999999999999794</v>
      </c>
      <c r="J98">
        <v>441.9</v>
      </c>
    </row>
    <row r="99" spans="1:10" x14ac:dyDescent="0.3">
      <c r="A99">
        <v>7.8499999999999801</v>
      </c>
      <c r="B99">
        <v>545.30999999999995</v>
      </c>
      <c r="C99">
        <v>7.8499999999999801</v>
      </c>
      <c r="D99">
        <v>544.42999999999995</v>
      </c>
      <c r="E99">
        <v>24.350000000000101</v>
      </c>
      <c r="F99">
        <v>716.06</v>
      </c>
      <c r="G99">
        <v>9.3499999999999801</v>
      </c>
      <c r="H99">
        <v>447.41</v>
      </c>
      <c r="I99">
        <v>8.8499999999999801</v>
      </c>
      <c r="J99">
        <v>442.25</v>
      </c>
    </row>
    <row r="100" spans="1:10" x14ac:dyDescent="0.3">
      <c r="A100">
        <v>7.8999999999999799</v>
      </c>
      <c r="B100">
        <v>544.41</v>
      </c>
      <c r="C100">
        <v>7.8999999999999799</v>
      </c>
      <c r="D100">
        <v>543.52</v>
      </c>
      <c r="E100">
        <v>24.400000000000102</v>
      </c>
      <c r="F100">
        <v>718.3</v>
      </c>
      <c r="G100">
        <v>9.3999999999999808</v>
      </c>
      <c r="H100">
        <v>447.84</v>
      </c>
      <c r="I100">
        <v>8.8999999999999808</v>
      </c>
      <c r="J100">
        <v>442.6</v>
      </c>
    </row>
    <row r="101" spans="1:10" x14ac:dyDescent="0.3">
      <c r="A101">
        <v>7.9499999999999797</v>
      </c>
      <c r="B101">
        <v>543.52</v>
      </c>
      <c r="C101">
        <v>7.9499999999999797</v>
      </c>
      <c r="D101">
        <v>542.61</v>
      </c>
      <c r="E101">
        <v>24.450000000000099</v>
      </c>
      <c r="F101">
        <v>720.55</v>
      </c>
      <c r="G101">
        <v>9.4499999999999797</v>
      </c>
      <c r="H101">
        <v>448.27</v>
      </c>
      <c r="I101">
        <v>8.9499999999999797</v>
      </c>
      <c r="J101">
        <v>442.95</v>
      </c>
    </row>
    <row r="102" spans="1:10" x14ac:dyDescent="0.3">
      <c r="A102">
        <v>7.9999999999999796</v>
      </c>
      <c r="B102">
        <v>542.63</v>
      </c>
      <c r="C102">
        <v>7.9999999999999796</v>
      </c>
      <c r="D102">
        <v>541.71</v>
      </c>
      <c r="E102">
        <v>24.500000000000099</v>
      </c>
      <c r="F102">
        <v>722.83</v>
      </c>
      <c r="G102">
        <v>9.4999999999999805</v>
      </c>
      <c r="H102">
        <v>448.7</v>
      </c>
      <c r="I102">
        <v>8.9999999999999805</v>
      </c>
      <c r="J102">
        <v>443.3</v>
      </c>
    </row>
    <row r="103" spans="1:10" x14ac:dyDescent="0.3">
      <c r="A103">
        <v>8.0499999999999794</v>
      </c>
      <c r="B103">
        <v>541.75</v>
      </c>
      <c r="C103">
        <v>8.0499999999999794</v>
      </c>
      <c r="D103">
        <v>540.80999999999995</v>
      </c>
      <c r="E103">
        <v>24.5500000000001</v>
      </c>
      <c r="F103">
        <v>725.13</v>
      </c>
      <c r="G103">
        <v>9.5499999999999794</v>
      </c>
      <c r="H103">
        <v>449.14</v>
      </c>
      <c r="I103">
        <v>9.0499999999999794</v>
      </c>
      <c r="J103">
        <v>443.65</v>
      </c>
    </row>
    <row r="104" spans="1:10" x14ac:dyDescent="0.3">
      <c r="A104">
        <v>8.0999999999999801</v>
      </c>
      <c r="B104">
        <v>540.88</v>
      </c>
      <c r="C104">
        <v>8.0999999999999801</v>
      </c>
      <c r="D104">
        <v>539.92999999999995</v>
      </c>
      <c r="E104">
        <v>24.600000000000101</v>
      </c>
      <c r="F104">
        <v>727.45</v>
      </c>
      <c r="G104">
        <v>9.5999999999999801</v>
      </c>
      <c r="H104">
        <v>449.58</v>
      </c>
      <c r="I104">
        <v>9.0999999999999801</v>
      </c>
      <c r="J104">
        <v>444</v>
      </c>
    </row>
    <row r="105" spans="1:10" x14ac:dyDescent="0.3">
      <c r="A105">
        <v>8.1499999999999808</v>
      </c>
      <c r="B105">
        <v>540.01</v>
      </c>
      <c r="C105">
        <v>8.1499999999999808</v>
      </c>
      <c r="D105">
        <v>539.04</v>
      </c>
      <c r="E105">
        <v>24.650000000000102</v>
      </c>
      <c r="F105">
        <v>729.8</v>
      </c>
      <c r="G105">
        <v>9.6499999999999808</v>
      </c>
      <c r="H105">
        <v>450.02</v>
      </c>
      <c r="I105">
        <v>9.1499999999999808</v>
      </c>
      <c r="J105">
        <v>444.36</v>
      </c>
    </row>
    <row r="106" spans="1:10" x14ac:dyDescent="0.3">
      <c r="A106">
        <v>8.1999999999999797</v>
      </c>
      <c r="B106">
        <v>539.14</v>
      </c>
      <c r="C106">
        <v>8.1999999999999797</v>
      </c>
      <c r="D106">
        <v>538.16999999999996</v>
      </c>
      <c r="E106">
        <v>24.700000000000099</v>
      </c>
      <c r="F106">
        <v>732.17</v>
      </c>
      <c r="G106">
        <v>9.6999999999999797</v>
      </c>
      <c r="H106">
        <v>450.47</v>
      </c>
      <c r="I106">
        <v>9.1999999999999797</v>
      </c>
      <c r="J106">
        <v>444.72</v>
      </c>
    </row>
    <row r="107" spans="1:10" x14ac:dyDescent="0.3">
      <c r="A107">
        <v>8.2499999999999805</v>
      </c>
      <c r="B107">
        <v>538.29</v>
      </c>
      <c r="C107">
        <v>8.2499999999999805</v>
      </c>
      <c r="D107">
        <v>537.29999999999995</v>
      </c>
      <c r="E107">
        <v>24.750000000000099</v>
      </c>
      <c r="F107">
        <v>734.56</v>
      </c>
      <c r="G107">
        <v>9.7499999999999805</v>
      </c>
      <c r="H107">
        <v>450.91</v>
      </c>
      <c r="I107">
        <v>9.2499999999999805</v>
      </c>
      <c r="J107">
        <v>445.08</v>
      </c>
    </row>
    <row r="108" spans="1:10" x14ac:dyDescent="0.3">
      <c r="A108">
        <v>8.2999999999999794</v>
      </c>
      <c r="B108">
        <v>537.42999999999995</v>
      </c>
      <c r="C108">
        <v>8.2999999999999794</v>
      </c>
      <c r="D108">
        <v>536.42999999999995</v>
      </c>
      <c r="E108">
        <v>24.8000000000001</v>
      </c>
      <c r="F108">
        <v>736.98</v>
      </c>
      <c r="G108">
        <v>9.7999999999999794</v>
      </c>
      <c r="H108">
        <v>451.36</v>
      </c>
      <c r="I108">
        <v>9.2999999999999794</v>
      </c>
      <c r="J108">
        <v>445.44</v>
      </c>
    </row>
    <row r="109" spans="1:10" x14ac:dyDescent="0.3">
      <c r="A109">
        <v>8.3499999999999801</v>
      </c>
      <c r="B109">
        <v>536.59</v>
      </c>
      <c r="C109">
        <v>8.3499999999999801</v>
      </c>
      <c r="D109">
        <v>535.57000000000005</v>
      </c>
      <c r="E109">
        <v>24.850000000000101</v>
      </c>
      <c r="F109">
        <v>739.42</v>
      </c>
      <c r="G109">
        <v>9.8499999999999801</v>
      </c>
      <c r="H109">
        <v>451.81</v>
      </c>
      <c r="I109">
        <v>9.3499999999999801</v>
      </c>
      <c r="J109">
        <v>445.81</v>
      </c>
    </row>
    <row r="110" spans="1:10" x14ac:dyDescent="0.3">
      <c r="A110">
        <v>8.3999999999999808</v>
      </c>
      <c r="B110">
        <v>535.75</v>
      </c>
      <c r="C110">
        <v>8.3999999999999808</v>
      </c>
      <c r="D110">
        <v>534.72</v>
      </c>
      <c r="E110">
        <v>24.900000000000102</v>
      </c>
      <c r="F110">
        <v>741.89</v>
      </c>
      <c r="G110">
        <v>9.8999999999999808</v>
      </c>
      <c r="H110">
        <v>452.26</v>
      </c>
      <c r="I110">
        <v>9.3999999999999808</v>
      </c>
      <c r="J110">
        <v>446.17</v>
      </c>
    </row>
    <row r="111" spans="1:10" x14ac:dyDescent="0.3">
      <c r="A111">
        <v>8.4499999999999797</v>
      </c>
      <c r="B111">
        <v>534.91</v>
      </c>
      <c r="C111">
        <v>8.4499999999999797</v>
      </c>
      <c r="D111">
        <v>533.87</v>
      </c>
      <c r="E111">
        <v>24.950000000000099</v>
      </c>
      <c r="F111">
        <v>744.38</v>
      </c>
      <c r="G111">
        <v>9.9499999999999797</v>
      </c>
      <c r="H111">
        <v>452.71</v>
      </c>
      <c r="I111">
        <v>9.4499999999999797</v>
      </c>
      <c r="J111">
        <v>446.54</v>
      </c>
    </row>
    <row r="112" spans="1:10" x14ac:dyDescent="0.3">
      <c r="A112">
        <v>8.4999999999999805</v>
      </c>
      <c r="B112">
        <v>534.08000000000004</v>
      </c>
      <c r="C112">
        <v>8.4999999999999805</v>
      </c>
      <c r="D112">
        <v>533.03</v>
      </c>
      <c r="E112">
        <v>25.000000000000099</v>
      </c>
      <c r="F112">
        <v>746.9</v>
      </c>
      <c r="G112">
        <v>9.9999999999999805</v>
      </c>
      <c r="H112">
        <v>453.17</v>
      </c>
      <c r="I112">
        <v>9.4999999999999805</v>
      </c>
      <c r="J112">
        <v>446.91</v>
      </c>
    </row>
    <row r="113" spans="1:10" x14ac:dyDescent="0.3">
      <c r="A113">
        <v>8.5499999999999794</v>
      </c>
      <c r="B113">
        <v>533.25</v>
      </c>
      <c r="C113">
        <v>8.5499999999999794</v>
      </c>
      <c r="D113">
        <v>532.19000000000005</v>
      </c>
      <c r="G113">
        <v>10.050000000000001</v>
      </c>
      <c r="H113">
        <v>453.62</v>
      </c>
      <c r="I113">
        <v>9.5499999999999794</v>
      </c>
      <c r="J113">
        <v>447.28</v>
      </c>
    </row>
    <row r="114" spans="1:10" x14ac:dyDescent="0.3">
      <c r="A114">
        <v>8.5999999999999801</v>
      </c>
      <c r="B114">
        <v>532.42999999999995</v>
      </c>
      <c r="C114">
        <v>8.5999999999999801</v>
      </c>
      <c r="D114">
        <v>531.36</v>
      </c>
      <c r="G114">
        <v>10.1</v>
      </c>
      <c r="H114">
        <v>454.08</v>
      </c>
      <c r="I114">
        <v>9.5999999999999801</v>
      </c>
      <c r="J114">
        <v>447.65</v>
      </c>
    </row>
    <row r="115" spans="1:10" x14ac:dyDescent="0.3">
      <c r="A115">
        <v>8.6499999999999808</v>
      </c>
      <c r="B115">
        <v>531.62</v>
      </c>
      <c r="C115">
        <v>8.6499999999999808</v>
      </c>
      <c r="D115">
        <v>530.53</v>
      </c>
      <c r="G115">
        <v>10.15</v>
      </c>
      <c r="H115">
        <v>454.55</v>
      </c>
      <c r="I115">
        <v>9.6499999999999808</v>
      </c>
      <c r="J115">
        <v>448.02</v>
      </c>
    </row>
    <row r="116" spans="1:10" x14ac:dyDescent="0.3">
      <c r="A116">
        <v>8.6999999999999797</v>
      </c>
      <c r="B116">
        <v>530.80999999999995</v>
      </c>
      <c r="C116">
        <v>8.6999999999999797</v>
      </c>
      <c r="D116">
        <v>529.71</v>
      </c>
      <c r="G116">
        <v>10.199999999999999</v>
      </c>
      <c r="H116">
        <v>455.01</v>
      </c>
      <c r="I116">
        <v>9.6999999999999797</v>
      </c>
      <c r="J116">
        <v>448.4</v>
      </c>
    </row>
    <row r="117" spans="1:10" x14ac:dyDescent="0.3">
      <c r="A117">
        <v>8.7499999999999805</v>
      </c>
      <c r="B117">
        <v>530.01</v>
      </c>
      <c r="C117">
        <v>8.7499999999999805</v>
      </c>
      <c r="D117">
        <v>528.9</v>
      </c>
      <c r="G117">
        <v>10.25</v>
      </c>
      <c r="H117">
        <v>455.47</v>
      </c>
      <c r="I117">
        <v>9.7499999999999805</v>
      </c>
      <c r="J117">
        <v>448.78</v>
      </c>
    </row>
    <row r="118" spans="1:10" x14ac:dyDescent="0.3">
      <c r="A118">
        <v>8.7999999999999794</v>
      </c>
      <c r="B118">
        <v>529.21</v>
      </c>
      <c r="C118">
        <v>8.7999999999999794</v>
      </c>
      <c r="D118">
        <v>528.09</v>
      </c>
      <c r="G118">
        <v>10.3</v>
      </c>
      <c r="H118">
        <v>455.94</v>
      </c>
      <c r="I118">
        <v>9.7999999999999794</v>
      </c>
      <c r="J118">
        <v>449.16</v>
      </c>
    </row>
    <row r="119" spans="1:10" x14ac:dyDescent="0.3">
      <c r="A119">
        <v>8.8499999999999801</v>
      </c>
      <c r="B119">
        <v>528.41</v>
      </c>
      <c r="C119">
        <v>8.8499999999999801</v>
      </c>
      <c r="D119">
        <v>527.28</v>
      </c>
      <c r="G119">
        <v>10.35</v>
      </c>
      <c r="H119">
        <v>456.41</v>
      </c>
      <c r="I119">
        <v>9.8499999999999801</v>
      </c>
      <c r="J119">
        <v>449.54</v>
      </c>
    </row>
    <row r="120" spans="1:10" x14ac:dyDescent="0.3">
      <c r="A120">
        <v>8.8999999999999808</v>
      </c>
      <c r="B120">
        <v>527.62</v>
      </c>
      <c r="C120">
        <v>8.8999999999999808</v>
      </c>
      <c r="D120">
        <v>526.48</v>
      </c>
      <c r="G120">
        <v>10.4</v>
      </c>
      <c r="H120">
        <v>456.89</v>
      </c>
      <c r="I120">
        <v>9.8999999999999808</v>
      </c>
      <c r="J120">
        <v>449.93</v>
      </c>
    </row>
    <row r="121" spans="1:10" x14ac:dyDescent="0.3">
      <c r="A121">
        <v>8.9499999999999797</v>
      </c>
      <c r="B121">
        <v>526.84</v>
      </c>
      <c r="C121">
        <v>8.9499999999999797</v>
      </c>
      <c r="D121">
        <v>525.69000000000005</v>
      </c>
      <c r="G121">
        <v>10.45</v>
      </c>
      <c r="H121">
        <v>457.36</v>
      </c>
      <c r="I121">
        <v>9.9499999999999797</v>
      </c>
      <c r="J121">
        <v>450.31</v>
      </c>
    </row>
    <row r="122" spans="1:10" x14ac:dyDescent="0.3">
      <c r="A122">
        <v>8.9999999999999805</v>
      </c>
      <c r="B122">
        <v>526.05999999999995</v>
      </c>
      <c r="C122">
        <v>8.9999999999999805</v>
      </c>
      <c r="D122">
        <v>524.9</v>
      </c>
      <c r="G122">
        <v>10.5</v>
      </c>
      <c r="H122">
        <v>457.84</v>
      </c>
      <c r="I122">
        <v>9.9999999999999805</v>
      </c>
      <c r="J122">
        <v>450.7</v>
      </c>
    </row>
    <row r="123" spans="1:10" x14ac:dyDescent="0.3">
      <c r="A123">
        <v>9.0499999999999794</v>
      </c>
      <c r="B123">
        <v>525.29</v>
      </c>
      <c r="C123">
        <v>9.0499999999999794</v>
      </c>
      <c r="D123">
        <v>524.11</v>
      </c>
      <c r="G123">
        <v>10.55</v>
      </c>
      <c r="H123">
        <v>458.32</v>
      </c>
      <c r="I123">
        <v>10.050000000000001</v>
      </c>
      <c r="J123">
        <v>451.09</v>
      </c>
    </row>
    <row r="124" spans="1:10" x14ac:dyDescent="0.3">
      <c r="A124">
        <v>9.0999999999999801</v>
      </c>
      <c r="B124">
        <v>524.52</v>
      </c>
      <c r="C124">
        <v>9.0999999999999801</v>
      </c>
      <c r="D124">
        <v>523.33000000000004</v>
      </c>
      <c r="G124">
        <v>10.6</v>
      </c>
      <c r="H124">
        <v>458.8</v>
      </c>
      <c r="I124">
        <v>10.1</v>
      </c>
      <c r="J124">
        <v>451.48</v>
      </c>
    </row>
    <row r="125" spans="1:10" x14ac:dyDescent="0.3">
      <c r="A125">
        <v>9.1499999999999808</v>
      </c>
      <c r="B125">
        <v>523.75</v>
      </c>
      <c r="C125">
        <v>9.1499999999999808</v>
      </c>
      <c r="D125">
        <v>522.55999999999995</v>
      </c>
      <c r="G125">
        <v>10.65</v>
      </c>
      <c r="H125">
        <v>459.28</v>
      </c>
      <c r="I125">
        <v>10.15</v>
      </c>
      <c r="J125">
        <v>451.87</v>
      </c>
    </row>
    <row r="126" spans="1:10" x14ac:dyDescent="0.3">
      <c r="A126">
        <v>9.1999999999999797</v>
      </c>
      <c r="B126">
        <v>522.99</v>
      </c>
      <c r="C126">
        <v>9.1999999999999797</v>
      </c>
      <c r="D126">
        <v>521.79</v>
      </c>
      <c r="G126">
        <v>10.7</v>
      </c>
      <c r="H126">
        <v>459.77</v>
      </c>
      <c r="I126">
        <v>10.199999999999999</v>
      </c>
      <c r="J126">
        <v>452.27</v>
      </c>
    </row>
    <row r="127" spans="1:10" x14ac:dyDescent="0.3">
      <c r="A127">
        <v>9.2499999999999805</v>
      </c>
      <c r="B127">
        <v>522.23</v>
      </c>
      <c r="C127">
        <v>9.2499999999999805</v>
      </c>
      <c r="D127">
        <v>521.02</v>
      </c>
      <c r="G127">
        <v>10.75</v>
      </c>
      <c r="H127">
        <v>460.26</v>
      </c>
      <c r="I127">
        <v>10.25</v>
      </c>
      <c r="J127">
        <v>452.67</v>
      </c>
    </row>
    <row r="128" spans="1:10" x14ac:dyDescent="0.3">
      <c r="A128">
        <v>9.2999999999999794</v>
      </c>
      <c r="B128">
        <v>521.48</v>
      </c>
      <c r="C128">
        <v>9.2999999999999794</v>
      </c>
      <c r="D128">
        <v>520.26</v>
      </c>
      <c r="G128">
        <v>10.8</v>
      </c>
      <c r="H128">
        <v>460.75</v>
      </c>
      <c r="I128">
        <v>10.3</v>
      </c>
      <c r="J128">
        <v>453.07</v>
      </c>
    </row>
    <row r="129" spans="1:10" x14ac:dyDescent="0.3">
      <c r="A129">
        <v>9.3499999999999801</v>
      </c>
      <c r="B129">
        <v>520.74</v>
      </c>
      <c r="C129">
        <v>9.3499999999999801</v>
      </c>
      <c r="D129">
        <v>519.51</v>
      </c>
      <c r="G129">
        <v>10.85</v>
      </c>
      <c r="H129">
        <v>461.24</v>
      </c>
      <c r="I129">
        <v>10.35</v>
      </c>
      <c r="J129">
        <v>453.47</v>
      </c>
    </row>
    <row r="130" spans="1:10" x14ac:dyDescent="0.3">
      <c r="A130">
        <v>9.3999999999999808</v>
      </c>
      <c r="B130">
        <v>519.99</v>
      </c>
      <c r="C130">
        <v>9.3999999999999808</v>
      </c>
      <c r="D130">
        <v>518.76</v>
      </c>
      <c r="G130">
        <v>10.9</v>
      </c>
      <c r="H130">
        <v>461.74</v>
      </c>
      <c r="I130">
        <v>10.4</v>
      </c>
      <c r="J130">
        <v>453.87</v>
      </c>
    </row>
    <row r="131" spans="1:10" x14ac:dyDescent="0.3">
      <c r="A131">
        <v>9.4499999999999797</v>
      </c>
      <c r="B131">
        <v>519.26</v>
      </c>
      <c r="C131">
        <v>9.4499999999999797</v>
      </c>
      <c r="D131">
        <v>518.01</v>
      </c>
      <c r="G131">
        <v>10.95</v>
      </c>
      <c r="H131">
        <v>462.24</v>
      </c>
      <c r="I131">
        <v>10.45</v>
      </c>
      <c r="J131">
        <v>454.28</v>
      </c>
    </row>
    <row r="132" spans="1:10" x14ac:dyDescent="0.3">
      <c r="A132">
        <v>9.4999999999999805</v>
      </c>
      <c r="B132">
        <v>518.52</v>
      </c>
      <c r="C132">
        <v>9.4999999999999805</v>
      </c>
      <c r="D132">
        <v>517.27</v>
      </c>
      <c r="G132">
        <v>11</v>
      </c>
      <c r="H132">
        <v>462.74</v>
      </c>
      <c r="I132">
        <v>10.5</v>
      </c>
      <c r="J132">
        <v>454.69</v>
      </c>
    </row>
    <row r="133" spans="1:10" x14ac:dyDescent="0.3">
      <c r="A133">
        <v>9.5499999999999794</v>
      </c>
      <c r="B133">
        <v>517.79999999999995</v>
      </c>
      <c r="C133">
        <v>9.5499999999999794</v>
      </c>
      <c r="D133">
        <v>516.53</v>
      </c>
      <c r="G133">
        <v>11.05</v>
      </c>
      <c r="H133">
        <v>463.24</v>
      </c>
      <c r="I133">
        <v>10.55</v>
      </c>
      <c r="J133">
        <v>455.1</v>
      </c>
    </row>
    <row r="134" spans="1:10" x14ac:dyDescent="0.3">
      <c r="A134">
        <v>9.5999999999999801</v>
      </c>
      <c r="B134">
        <v>517.07000000000005</v>
      </c>
      <c r="C134">
        <v>9.5999999999999801</v>
      </c>
      <c r="D134">
        <v>515.79999999999995</v>
      </c>
      <c r="G134">
        <v>11.1</v>
      </c>
      <c r="H134">
        <v>463.75</v>
      </c>
      <c r="I134">
        <v>10.6</v>
      </c>
      <c r="J134">
        <v>455.51</v>
      </c>
    </row>
    <row r="135" spans="1:10" x14ac:dyDescent="0.3">
      <c r="A135">
        <v>9.6499999999999808</v>
      </c>
      <c r="B135">
        <v>516.35</v>
      </c>
      <c r="C135">
        <v>9.6499999999999808</v>
      </c>
      <c r="D135">
        <v>515.07000000000005</v>
      </c>
      <c r="G135">
        <v>11.15</v>
      </c>
      <c r="H135">
        <v>464.25</v>
      </c>
      <c r="I135">
        <v>10.65</v>
      </c>
      <c r="J135">
        <v>455.92</v>
      </c>
    </row>
    <row r="136" spans="1:10" x14ac:dyDescent="0.3">
      <c r="A136">
        <v>9.6999999999999797</v>
      </c>
      <c r="B136">
        <v>515.63</v>
      </c>
      <c r="C136">
        <v>9.6999999999999797</v>
      </c>
      <c r="D136">
        <v>514.34</v>
      </c>
      <c r="G136">
        <v>11.2</v>
      </c>
      <c r="H136">
        <v>464.76</v>
      </c>
      <c r="I136">
        <v>10.7</v>
      </c>
      <c r="J136">
        <v>456.34</v>
      </c>
    </row>
    <row r="137" spans="1:10" x14ac:dyDescent="0.3">
      <c r="A137">
        <v>9.7499999999999805</v>
      </c>
      <c r="B137">
        <v>514.91999999999996</v>
      </c>
      <c r="C137">
        <v>9.7499999999999805</v>
      </c>
      <c r="D137">
        <v>513.62</v>
      </c>
      <c r="G137">
        <v>11.25</v>
      </c>
      <c r="H137">
        <v>465.28</v>
      </c>
      <c r="I137">
        <v>10.75</v>
      </c>
      <c r="J137">
        <v>456.76</v>
      </c>
    </row>
    <row r="138" spans="1:10" x14ac:dyDescent="0.3">
      <c r="A138">
        <v>9.7999999999999794</v>
      </c>
      <c r="B138">
        <v>514.22</v>
      </c>
      <c r="C138">
        <v>9.7999999999999794</v>
      </c>
      <c r="D138">
        <v>512.91</v>
      </c>
      <c r="G138">
        <v>11.3</v>
      </c>
      <c r="H138">
        <v>465.79</v>
      </c>
      <c r="I138">
        <v>10.8</v>
      </c>
      <c r="J138">
        <v>457.18</v>
      </c>
    </row>
    <row r="139" spans="1:10" x14ac:dyDescent="0.3">
      <c r="A139">
        <v>9.8499999999999801</v>
      </c>
      <c r="B139">
        <v>513.51</v>
      </c>
      <c r="C139">
        <v>9.8499999999999801</v>
      </c>
      <c r="D139">
        <v>512.19000000000005</v>
      </c>
      <c r="G139">
        <v>11.35</v>
      </c>
      <c r="H139">
        <v>466.31</v>
      </c>
      <c r="I139">
        <v>10.85</v>
      </c>
      <c r="J139">
        <v>457.6</v>
      </c>
    </row>
    <row r="140" spans="1:10" x14ac:dyDescent="0.3">
      <c r="A140">
        <v>9.8999999999999808</v>
      </c>
      <c r="B140">
        <v>512.80999999999995</v>
      </c>
      <c r="C140">
        <v>9.8999999999999808</v>
      </c>
      <c r="D140">
        <v>511.49</v>
      </c>
      <c r="G140">
        <v>11.4</v>
      </c>
      <c r="H140">
        <v>466.83</v>
      </c>
      <c r="I140">
        <v>10.9</v>
      </c>
      <c r="J140">
        <v>458.03</v>
      </c>
    </row>
    <row r="141" spans="1:10" x14ac:dyDescent="0.3">
      <c r="A141">
        <v>9.9499999999999797</v>
      </c>
      <c r="B141">
        <v>512.12</v>
      </c>
      <c r="C141">
        <v>9.9499999999999797</v>
      </c>
      <c r="D141">
        <v>510.78</v>
      </c>
      <c r="G141">
        <v>11.45</v>
      </c>
      <c r="H141">
        <v>467.35</v>
      </c>
      <c r="I141">
        <v>10.95</v>
      </c>
      <c r="J141">
        <v>458.45</v>
      </c>
    </row>
    <row r="142" spans="1:10" x14ac:dyDescent="0.3">
      <c r="A142">
        <v>9.9999999999999805</v>
      </c>
      <c r="B142">
        <v>511.43</v>
      </c>
      <c r="C142">
        <v>9.9999999999999805</v>
      </c>
      <c r="D142">
        <v>510.08</v>
      </c>
      <c r="G142">
        <v>11.5</v>
      </c>
      <c r="H142">
        <v>467.88</v>
      </c>
      <c r="I142">
        <v>11</v>
      </c>
      <c r="J142">
        <v>458.88</v>
      </c>
    </row>
    <row r="143" spans="1:10" x14ac:dyDescent="0.3">
      <c r="A143">
        <v>10.050000000000001</v>
      </c>
      <c r="B143">
        <v>510.74</v>
      </c>
      <c r="C143">
        <v>10.050000000000001</v>
      </c>
      <c r="D143">
        <v>509.39</v>
      </c>
      <c r="G143">
        <v>11.55</v>
      </c>
      <c r="H143">
        <v>468.41</v>
      </c>
      <c r="I143">
        <v>11.05</v>
      </c>
      <c r="J143">
        <v>459.31</v>
      </c>
    </row>
    <row r="144" spans="1:10" x14ac:dyDescent="0.3">
      <c r="A144">
        <v>10.1</v>
      </c>
      <c r="B144">
        <v>510.06</v>
      </c>
      <c r="C144">
        <v>10.1</v>
      </c>
      <c r="D144">
        <v>508.7</v>
      </c>
      <c r="G144">
        <v>11.6</v>
      </c>
      <c r="H144">
        <v>468.94</v>
      </c>
      <c r="I144">
        <v>11.1</v>
      </c>
      <c r="J144">
        <v>459.75</v>
      </c>
    </row>
    <row r="145" spans="1:10" x14ac:dyDescent="0.3">
      <c r="A145">
        <v>10.15</v>
      </c>
      <c r="B145">
        <v>509.38</v>
      </c>
      <c r="C145">
        <v>10.15</v>
      </c>
      <c r="D145">
        <v>508.01</v>
      </c>
      <c r="G145">
        <v>11.65</v>
      </c>
      <c r="H145">
        <v>469.48</v>
      </c>
      <c r="I145">
        <v>11.15</v>
      </c>
      <c r="J145">
        <v>460.18</v>
      </c>
    </row>
    <row r="146" spans="1:10" x14ac:dyDescent="0.3">
      <c r="A146">
        <v>10.199999999999999</v>
      </c>
      <c r="B146">
        <v>508.7</v>
      </c>
      <c r="C146">
        <v>10.199999999999999</v>
      </c>
      <c r="D146">
        <v>507.33</v>
      </c>
      <c r="G146">
        <v>11.7</v>
      </c>
      <c r="H146">
        <v>470.01</v>
      </c>
      <c r="I146">
        <v>11.2</v>
      </c>
      <c r="J146">
        <v>460.62</v>
      </c>
    </row>
    <row r="147" spans="1:10" x14ac:dyDescent="0.3">
      <c r="A147">
        <v>10.25</v>
      </c>
      <c r="B147">
        <v>508.03</v>
      </c>
      <c r="C147">
        <v>10.25</v>
      </c>
      <c r="D147">
        <v>506.65</v>
      </c>
      <c r="G147">
        <v>11.75</v>
      </c>
      <c r="H147">
        <v>470.55</v>
      </c>
      <c r="I147">
        <v>11.25</v>
      </c>
      <c r="J147">
        <v>461.06</v>
      </c>
    </row>
    <row r="148" spans="1:10" x14ac:dyDescent="0.3">
      <c r="A148">
        <v>10.3</v>
      </c>
      <c r="B148">
        <v>507.36</v>
      </c>
      <c r="C148">
        <v>10.3</v>
      </c>
      <c r="D148">
        <v>505.97</v>
      </c>
      <c r="G148">
        <v>11.8</v>
      </c>
      <c r="H148">
        <v>471.09</v>
      </c>
      <c r="I148">
        <v>11.3</v>
      </c>
      <c r="J148">
        <v>461.5</v>
      </c>
    </row>
    <row r="149" spans="1:10" x14ac:dyDescent="0.3">
      <c r="A149">
        <v>10.35</v>
      </c>
      <c r="B149">
        <v>506.7</v>
      </c>
      <c r="C149">
        <v>10.35</v>
      </c>
      <c r="D149">
        <v>505.3</v>
      </c>
      <c r="G149">
        <v>11.85</v>
      </c>
      <c r="H149">
        <v>471.64</v>
      </c>
      <c r="I149">
        <v>11.35</v>
      </c>
      <c r="J149">
        <v>461.95</v>
      </c>
    </row>
    <row r="150" spans="1:10" x14ac:dyDescent="0.3">
      <c r="A150">
        <v>10.4</v>
      </c>
      <c r="B150">
        <v>506.03</v>
      </c>
      <c r="C150">
        <v>10.4</v>
      </c>
      <c r="D150">
        <v>504.63</v>
      </c>
      <c r="G150">
        <v>11.9</v>
      </c>
      <c r="H150">
        <v>472.19</v>
      </c>
      <c r="I150">
        <v>11.4</v>
      </c>
      <c r="J150">
        <v>462.39</v>
      </c>
    </row>
    <row r="151" spans="1:10" x14ac:dyDescent="0.3">
      <c r="A151">
        <v>10.45</v>
      </c>
      <c r="B151">
        <v>505.38</v>
      </c>
      <c r="C151">
        <v>10.45</v>
      </c>
      <c r="D151">
        <v>503.97</v>
      </c>
      <c r="G151">
        <v>11.95</v>
      </c>
      <c r="H151">
        <v>472.74</v>
      </c>
      <c r="I151">
        <v>11.45</v>
      </c>
      <c r="J151">
        <v>462.84</v>
      </c>
    </row>
    <row r="152" spans="1:10" x14ac:dyDescent="0.3">
      <c r="A152">
        <v>10.5</v>
      </c>
      <c r="B152">
        <v>504.72</v>
      </c>
      <c r="C152">
        <v>10.5</v>
      </c>
      <c r="D152">
        <v>503.3</v>
      </c>
      <c r="G152">
        <v>12</v>
      </c>
      <c r="H152">
        <v>473.29</v>
      </c>
      <c r="I152">
        <v>11.5</v>
      </c>
      <c r="J152">
        <v>463.3</v>
      </c>
    </row>
    <row r="153" spans="1:10" x14ac:dyDescent="0.3">
      <c r="A153">
        <v>10.55</v>
      </c>
      <c r="B153">
        <v>504.07</v>
      </c>
      <c r="C153">
        <v>10.55</v>
      </c>
      <c r="D153">
        <v>502.65</v>
      </c>
      <c r="G153">
        <v>12.05</v>
      </c>
      <c r="H153">
        <v>473.85</v>
      </c>
      <c r="I153">
        <v>11.55</v>
      </c>
      <c r="J153">
        <v>463.75</v>
      </c>
    </row>
    <row r="154" spans="1:10" x14ac:dyDescent="0.3">
      <c r="A154">
        <v>10.6</v>
      </c>
      <c r="B154">
        <v>503.43</v>
      </c>
      <c r="C154">
        <v>10.6</v>
      </c>
      <c r="D154">
        <v>501.99</v>
      </c>
      <c r="G154">
        <v>12.1</v>
      </c>
      <c r="H154">
        <v>474.41</v>
      </c>
      <c r="I154">
        <v>11.6</v>
      </c>
      <c r="J154">
        <v>464.21</v>
      </c>
    </row>
    <row r="155" spans="1:10" x14ac:dyDescent="0.3">
      <c r="A155">
        <v>10.65</v>
      </c>
      <c r="B155">
        <v>502.78</v>
      </c>
      <c r="C155">
        <v>10.65</v>
      </c>
      <c r="D155">
        <v>501.34</v>
      </c>
      <c r="G155">
        <v>12.15</v>
      </c>
      <c r="H155">
        <v>474.97</v>
      </c>
      <c r="I155">
        <v>11.65</v>
      </c>
      <c r="J155">
        <v>464.66</v>
      </c>
    </row>
    <row r="156" spans="1:10" x14ac:dyDescent="0.3">
      <c r="A156">
        <v>10.7</v>
      </c>
      <c r="B156">
        <v>502.14</v>
      </c>
      <c r="C156">
        <v>10.7</v>
      </c>
      <c r="D156">
        <v>500.7</v>
      </c>
      <c r="G156">
        <v>12.2</v>
      </c>
      <c r="H156">
        <v>475.54</v>
      </c>
      <c r="I156">
        <v>11.7</v>
      </c>
      <c r="J156">
        <v>465.13</v>
      </c>
    </row>
    <row r="157" spans="1:10" x14ac:dyDescent="0.3">
      <c r="A157">
        <v>10.75</v>
      </c>
      <c r="B157">
        <v>501.51</v>
      </c>
      <c r="C157">
        <v>10.75</v>
      </c>
      <c r="D157">
        <v>500.05</v>
      </c>
      <c r="G157">
        <v>12.25</v>
      </c>
      <c r="H157">
        <v>476.11</v>
      </c>
      <c r="I157">
        <v>11.75</v>
      </c>
      <c r="J157">
        <v>465.59</v>
      </c>
    </row>
    <row r="158" spans="1:10" x14ac:dyDescent="0.3">
      <c r="A158">
        <v>10.8</v>
      </c>
      <c r="B158">
        <v>500.88</v>
      </c>
      <c r="C158">
        <v>10.8</v>
      </c>
      <c r="D158">
        <v>499.41</v>
      </c>
      <c r="G158">
        <v>12.3</v>
      </c>
      <c r="H158">
        <v>476.68</v>
      </c>
      <c r="I158">
        <v>11.8</v>
      </c>
      <c r="J158">
        <v>466.05</v>
      </c>
    </row>
    <row r="159" spans="1:10" x14ac:dyDescent="0.3">
      <c r="A159">
        <v>10.85</v>
      </c>
      <c r="B159">
        <v>500.25</v>
      </c>
      <c r="C159">
        <v>10.85</v>
      </c>
      <c r="D159">
        <v>498.78</v>
      </c>
      <c r="G159">
        <v>12.35</v>
      </c>
      <c r="H159">
        <v>477.25</v>
      </c>
      <c r="I159">
        <v>11.85</v>
      </c>
      <c r="J159">
        <v>466.52</v>
      </c>
    </row>
    <row r="160" spans="1:10" x14ac:dyDescent="0.3">
      <c r="A160">
        <v>10.9</v>
      </c>
      <c r="B160">
        <v>499.62</v>
      </c>
      <c r="C160">
        <v>10.9</v>
      </c>
      <c r="D160">
        <v>498.14</v>
      </c>
      <c r="G160">
        <v>12.4</v>
      </c>
      <c r="H160">
        <v>477.83</v>
      </c>
      <c r="I160">
        <v>11.9</v>
      </c>
      <c r="J160">
        <v>466.99</v>
      </c>
    </row>
    <row r="161" spans="1:10" x14ac:dyDescent="0.3">
      <c r="A161">
        <v>10.95</v>
      </c>
      <c r="B161">
        <v>499</v>
      </c>
      <c r="C161">
        <v>10.95</v>
      </c>
      <c r="D161">
        <v>497.51</v>
      </c>
      <c r="G161">
        <v>12.45</v>
      </c>
      <c r="H161">
        <v>478.41</v>
      </c>
      <c r="I161">
        <v>11.95</v>
      </c>
      <c r="J161">
        <v>467.47</v>
      </c>
    </row>
    <row r="162" spans="1:10" x14ac:dyDescent="0.3">
      <c r="A162">
        <v>11</v>
      </c>
      <c r="B162">
        <v>498.38</v>
      </c>
      <c r="C162">
        <v>11</v>
      </c>
      <c r="D162">
        <v>496.89</v>
      </c>
      <c r="G162">
        <v>12.5</v>
      </c>
      <c r="H162">
        <v>479</v>
      </c>
      <c r="I162">
        <v>12</v>
      </c>
      <c r="J162">
        <v>467.94</v>
      </c>
    </row>
    <row r="163" spans="1:10" x14ac:dyDescent="0.3">
      <c r="A163">
        <v>11.05</v>
      </c>
      <c r="B163">
        <v>497.76</v>
      </c>
      <c r="C163">
        <v>11.05</v>
      </c>
      <c r="D163">
        <v>496.26</v>
      </c>
      <c r="G163">
        <v>12.55</v>
      </c>
      <c r="H163">
        <v>479.58</v>
      </c>
      <c r="I163">
        <v>12.05</v>
      </c>
      <c r="J163">
        <v>468.42</v>
      </c>
    </row>
    <row r="164" spans="1:10" x14ac:dyDescent="0.3">
      <c r="A164">
        <v>11.1</v>
      </c>
      <c r="B164">
        <v>497.15</v>
      </c>
      <c r="C164">
        <v>11.1</v>
      </c>
      <c r="D164">
        <v>495.64</v>
      </c>
      <c r="G164">
        <v>12.6</v>
      </c>
      <c r="H164">
        <v>480.17</v>
      </c>
      <c r="I164">
        <v>12.1</v>
      </c>
      <c r="J164">
        <v>468.9</v>
      </c>
    </row>
    <row r="165" spans="1:10" x14ac:dyDescent="0.3">
      <c r="A165">
        <v>11.15</v>
      </c>
      <c r="B165">
        <v>496.54</v>
      </c>
      <c r="C165">
        <v>11.15</v>
      </c>
      <c r="D165">
        <v>495.03</v>
      </c>
      <c r="G165">
        <v>12.65</v>
      </c>
      <c r="H165">
        <v>480.77</v>
      </c>
      <c r="I165">
        <v>12.15</v>
      </c>
      <c r="J165">
        <v>469.38</v>
      </c>
    </row>
    <row r="166" spans="1:10" x14ac:dyDescent="0.3">
      <c r="A166">
        <v>11.2</v>
      </c>
      <c r="B166">
        <v>495.93</v>
      </c>
      <c r="C166">
        <v>11.2</v>
      </c>
      <c r="D166">
        <v>494.41</v>
      </c>
      <c r="G166">
        <v>12.7</v>
      </c>
      <c r="H166">
        <v>481.37</v>
      </c>
      <c r="I166">
        <v>12.2</v>
      </c>
      <c r="J166">
        <v>469.87</v>
      </c>
    </row>
    <row r="167" spans="1:10" x14ac:dyDescent="0.3">
      <c r="A167">
        <v>11.25</v>
      </c>
      <c r="B167">
        <v>495.33</v>
      </c>
      <c r="C167">
        <v>11.25</v>
      </c>
      <c r="D167">
        <v>493.8</v>
      </c>
      <c r="G167">
        <v>12.75</v>
      </c>
      <c r="H167">
        <v>481.97</v>
      </c>
      <c r="I167">
        <v>12.25</v>
      </c>
      <c r="J167">
        <v>470.36</v>
      </c>
    </row>
    <row r="168" spans="1:10" x14ac:dyDescent="0.3">
      <c r="A168">
        <v>11.3</v>
      </c>
      <c r="B168">
        <v>494.73</v>
      </c>
      <c r="C168">
        <v>11.3</v>
      </c>
      <c r="D168">
        <v>493.2</v>
      </c>
      <c r="G168">
        <v>12.8</v>
      </c>
      <c r="H168">
        <v>482.57</v>
      </c>
      <c r="I168">
        <v>12.3</v>
      </c>
      <c r="J168">
        <v>470.85</v>
      </c>
    </row>
    <row r="169" spans="1:10" x14ac:dyDescent="0.3">
      <c r="A169">
        <v>11.35</v>
      </c>
      <c r="B169">
        <v>494.13</v>
      </c>
      <c r="C169">
        <v>11.35</v>
      </c>
      <c r="D169">
        <v>492.59</v>
      </c>
      <c r="G169">
        <v>12.85</v>
      </c>
      <c r="H169">
        <v>483.18</v>
      </c>
      <c r="I169">
        <v>12.35</v>
      </c>
      <c r="J169">
        <v>471.34</v>
      </c>
    </row>
    <row r="170" spans="1:10" x14ac:dyDescent="0.3">
      <c r="A170">
        <v>11.4</v>
      </c>
      <c r="B170">
        <v>493.53</v>
      </c>
      <c r="C170">
        <v>11.4</v>
      </c>
      <c r="D170">
        <v>491.99</v>
      </c>
      <c r="G170">
        <v>12.9</v>
      </c>
      <c r="H170">
        <v>483.79</v>
      </c>
      <c r="I170">
        <v>12.4</v>
      </c>
      <c r="J170">
        <v>471.83</v>
      </c>
    </row>
    <row r="171" spans="1:10" x14ac:dyDescent="0.3">
      <c r="A171">
        <v>11.45</v>
      </c>
      <c r="B171">
        <v>492.94</v>
      </c>
      <c r="C171">
        <v>11.45</v>
      </c>
      <c r="D171">
        <v>491.39</v>
      </c>
      <c r="G171">
        <v>12.95</v>
      </c>
      <c r="H171">
        <v>484.4</v>
      </c>
      <c r="I171">
        <v>12.45</v>
      </c>
      <c r="J171">
        <v>472.33</v>
      </c>
    </row>
    <row r="172" spans="1:10" x14ac:dyDescent="0.3">
      <c r="A172">
        <v>11.5</v>
      </c>
      <c r="B172">
        <v>492.35</v>
      </c>
      <c r="C172">
        <v>11.5</v>
      </c>
      <c r="D172">
        <v>490.8</v>
      </c>
      <c r="G172">
        <v>13</v>
      </c>
      <c r="H172">
        <v>485.02</v>
      </c>
      <c r="I172">
        <v>12.5</v>
      </c>
      <c r="J172">
        <v>472.83</v>
      </c>
    </row>
    <row r="173" spans="1:10" x14ac:dyDescent="0.3">
      <c r="A173">
        <v>11.55</v>
      </c>
      <c r="B173">
        <v>491.77</v>
      </c>
      <c r="C173">
        <v>11.55</v>
      </c>
      <c r="D173">
        <v>490.2</v>
      </c>
      <c r="G173">
        <v>13.05</v>
      </c>
      <c r="H173">
        <v>485.64</v>
      </c>
    </row>
    <row r="174" spans="1:10" x14ac:dyDescent="0.3">
      <c r="A174">
        <v>11.6</v>
      </c>
      <c r="B174">
        <v>491.18</v>
      </c>
      <c r="C174">
        <v>11.6</v>
      </c>
      <c r="D174">
        <v>489.61</v>
      </c>
      <c r="G174">
        <v>13.1</v>
      </c>
      <c r="H174">
        <v>486.27</v>
      </c>
    </row>
    <row r="175" spans="1:10" x14ac:dyDescent="0.3">
      <c r="A175">
        <v>11.65</v>
      </c>
      <c r="B175">
        <v>490.6</v>
      </c>
      <c r="C175">
        <v>11.65</v>
      </c>
      <c r="D175">
        <v>489.03</v>
      </c>
      <c r="G175">
        <v>13.15</v>
      </c>
      <c r="H175">
        <v>486.89</v>
      </c>
    </row>
    <row r="176" spans="1:10" x14ac:dyDescent="0.3">
      <c r="A176">
        <v>11.7</v>
      </c>
      <c r="B176">
        <v>490.03</v>
      </c>
      <c r="C176">
        <v>11.7</v>
      </c>
      <c r="D176">
        <v>488.44</v>
      </c>
      <c r="G176">
        <v>13.2</v>
      </c>
      <c r="H176">
        <v>487.53</v>
      </c>
    </row>
    <row r="177" spans="1:8" x14ac:dyDescent="0.3">
      <c r="A177">
        <v>11.75</v>
      </c>
      <c r="B177">
        <v>489.45</v>
      </c>
      <c r="C177">
        <v>11.75</v>
      </c>
      <c r="D177">
        <v>487.86</v>
      </c>
      <c r="G177">
        <v>13.25</v>
      </c>
      <c r="H177">
        <v>488.16</v>
      </c>
    </row>
    <row r="178" spans="1:8" x14ac:dyDescent="0.3">
      <c r="A178">
        <v>11.8</v>
      </c>
      <c r="B178">
        <v>488.88</v>
      </c>
      <c r="C178">
        <v>11.8</v>
      </c>
      <c r="D178">
        <v>487.28</v>
      </c>
      <c r="G178">
        <v>13.3</v>
      </c>
      <c r="H178">
        <v>488.8</v>
      </c>
    </row>
    <row r="179" spans="1:8" x14ac:dyDescent="0.3">
      <c r="A179">
        <v>11.85</v>
      </c>
      <c r="B179">
        <v>488.31</v>
      </c>
      <c r="C179">
        <v>11.85</v>
      </c>
      <c r="D179">
        <v>486.71</v>
      </c>
      <c r="G179">
        <v>13.35</v>
      </c>
      <c r="H179">
        <v>489.44</v>
      </c>
    </row>
    <row r="180" spans="1:8" x14ac:dyDescent="0.3">
      <c r="A180">
        <v>11.9</v>
      </c>
      <c r="B180">
        <v>487.75</v>
      </c>
      <c r="C180">
        <v>11.9</v>
      </c>
      <c r="D180">
        <v>486.14</v>
      </c>
      <c r="G180">
        <v>13.4</v>
      </c>
      <c r="H180">
        <v>490.09</v>
      </c>
    </row>
    <row r="181" spans="1:8" x14ac:dyDescent="0.3">
      <c r="A181">
        <v>11.95</v>
      </c>
      <c r="B181">
        <v>487.18</v>
      </c>
      <c r="C181">
        <v>11.95</v>
      </c>
      <c r="D181">
        <v>485.57</v>
      </c>
      <c r="G181">
        <v>13.45</v>
      </c>
      <c r="H181">
        <v>490.74</v>
      </c>
    </row>
    <row r="182" spans="1:8" x14ac:dyDescent="0.3">
      <c r="A182">
        <v>12</v>
      </c>
      <c r="B182">
        <v>486.62</v>
      </c>
      <c r="C182">
        <v>12</v>
      </c>
      <c r="D182">
        <v>485</v>
      </c>
      <c r="G182">
        <v>13.5</v>
      </c>
      <c r="H182">
        <v>491.39</v>
      </c>
    </row>
    <row r="183" spans="1:8" x14ac:dyDescent="0.3">
      <c r="A183">
        <v>12.05</v>
      </c>
      <c r="B183">
        <v>486.06</v>
      </c>
      <c r="C183">
        <v>12.05</v>
      </c>
      <c r="D183">
        <v>484.43</v>
      </c>
      <c r="G183">
        <v>13.55</v>
      </c>
      <c r="H183">
        <v>492.05</v>
      </c>
    </row>
    <row r="184" spans="1:8" x14ac:dyDescent="0.3">
      <c r="A184">
        <v>12.1</v>
      </c>
      <c r="B184">
        <v>485.51</v>
      </c>
      <c r="C184">
        <v>12.1</v>
      </c>
      <c r="D184">
        <v>483.87</v>
      </c>
      <c r="G184">
        <v>13.6</v>
      </c>
      <c r="H184">
        <v>492.71</v>
      </c>
    </row>
    <row r="185" spans="1:8" x14ac:dyDescent="0.3">
      <c r="A185">
        <v>12.15</v>
      </c>
      <c r="B185">
        <v>484.95</v>
      </c>
      <c r="C185">
        <v>12.15</v>
      </c>
      <c r="D185">
        <v>483.31</v>
      </c>
      <c r="G185">
        <v>13.65</v>
      </c>
      <c r="H185">
        <v>493.38</v>
      </c>
    </row>
    <row r="186" spans="1:8" x14ac:dyDescent="0.3">
      <c r="A186">
        <v>12.2</v>
      </c>
      <c r="B186">
        <v>484.4</v>
      </c>
      <c r="C186">
        <v>12.2</v>
      </c>
      <c r="D186">
        <v>482.75</v>
      </c>
      <c r="G186">
        <v>13.7</v>
      </c>
      <c r="H186">
        <v>494.05</v>
      </c>
    </row>
    <row r="187" spans="1:8" x14ac:dyDescent="0.3">
      <c r="A187">
        <v>12.25</v>
      </c>
      <c r="B187">
        <v>483.86</v>
      </c>
      <c r="C187">
        <v>12.25</v>
      </c>
      <c r="D187">
        <v>482.2</v>
      </c>
      <c r="G187">
        <v>13.75</v>
      </c>
      <c r="H187">
        <v>494.72</v>
      </c>
    </row>
    <row r="188" spans="1:8" x14ac:dyDescent="0.3">
      <c r="A188">
        <v>12.3</v>
      </c>
      <c r="B188">
        <v>483.31</v>
      </c>
      <c r="C188">
        <v>12.3</v>
      </c>
      <c r="D188">
        <v>481.65</v>
      </c>
      <c r="G188">
        <v>13.8</v>
      </c>
      <c r="H188">
        <v>495.4</v>
      </c>
    </row>
    <row r="189" spans="1:8" x14ac:dyDescent="0.3">
      <c r="A189">
        <v>12.35</v>
      </c>
      <c r="B189">
        <v>482.77</v>
      </c>
      <c r="C189">
        <v>12.35</v>
      </c>
      <c r="D189">
        <v>481.1</v>
      </c>
      <c r="G189">
        <v>13.85</v>
      </c>
      <c r="H189">
        <v>496.08</v>
      </c>
    </row>
    <row r="190" spans="1:8" x14ac:dyDescent="0.3">
      <c r="A190">
        <v>12.4</v>
      </c>
      <c r="B190">
        <v>482.23</v>
      </c>
      <c r="C190">
        <v>12.4</v>
      </c>
      <c r="D190">
        <v>480.55</v>
      </c>
      <c r="G190">
        <v>13.9</v>
      </c>
      <c r="H190">
        <v>496.77</v>
      </c>
    </row>
    <row r="191" spans="1:8" x14ac:dyDescent="0.3">
      <c r="A191">
        <v>12.45</v>
      </c>
      <c r="B191">
        <v>481.69</v>
      </c>
      <c r="C191">
        <v>12.45</v>
      </c>
      <c r="D191">
        <v>480.01</v>
      </c>
      <c r="G191">
        <v>13.95</v>
      </c>
      <c r="H191">
        <v>497.46</v>
      </c>
    </row>
    <row r="192" spans="1:8" x14ac:dyDescent="0.3">
      <c r="A192">
        <v>12.5</v>
      </c>
      <c r="B192">
        <v>481.15</v>
      </c>
      <c r="C192">
        <v>12.5</v>
      </c>
      <c r="D192">
        <v>479.46</v>
      </c>
      <c r="G192">
        <v>14</v>
      </c>
      <c r="H192">
        <v>498.15</v>
      </c>
    </row>
    <row r="193" spans="1:8" x14ac:dyDescent="0.3">
      <c r="A193">
        <v>12.55</v>
      </c>
      <c r="B193">
        <v>480.62</v>
      </c>
      <c r="C193">
        <v>12.55</v>
      </c>
      <c r="D193">
        <v>478.92</v>
      </c>
      <c r="G193">
        <v>14.05</v>
      </c>
      <c r="H193">
        <v>498.85</v>
      </c>
    </row>
    <row r="194" spans="1:8" x14ac:dyDescent="0.3">
      <c r="A194">
        <v>12.6</v>
      </c>
      <c r="B194">
        <v>480.09</v>
      </c>
      <c r="C194">
        <v>12.6</v>
      </c>
      <c r="D194">
        <v>478.39</v>
      </c>
      <c r="G194">
        <v>14.1</v>
      </c>
      <c r="H194">
        <v>499.55</v>
      </c>
    </row>
    <row r="195" spans="1:8" x14ac:dyDescent="0.3">
      <c r="A195">
        <v>12.65</v>
      </c>
      <c r="B195">
        <v>479.56</v>
      </c>
      <c r="C195">
        <v>12.65</v>
      </c>
      <c r="D195">
        <v>477.85</v>
      </c>
      <c r="G195">
        <v>14.15</v>
      </c>
      <c r="H195">
        <v>500.26</v>
      </c>
    </row>
    <row r="196" spans="1:8" x14ac:dyDescent="0.3">
      <c r="A196">
        <v>12.7</v>
      </c>
      <c r="B196">
        <v>479.03</v>
      </c>
      <c r="C196">
        <v>12.7</v>
      </c>
      <c r="D196">
        <v>477.32</v>
      </c>
      <c r="G196">
        <v>14.2</v>
      </c>
      <c r="H196">
        <v>500.97</v>
      </c>
    </row>
    <row r="197" spans="1:8" x14ac:dyDescent="0.3">
      <c r="A197">
        <v>12.75</v>
      </c>
      <c r="B197">
        <v>478.51</v>
      </c>
      <c r="C197">
        <v>12.75</v>
      </c>
      <c r="D197">
        <v>476.79</v>
      </c>
      <c r="G197">
        <v>14.25</v>
      </c>
      <c r="H197">
        <v>501.68</v>
      </c>
    </row>
    <row r="198" spans="1:8" x14ac:dyDescent="0.3">
      <c r="A198">
        <v>12.8</v>
      </c>
      <c r="B198">
        <v>477.99</v>
      </c>
      <c r="C198">
        <v>12.8</v>
      </c>
      <c r="D198">
        <v>476.26</v>
      </c>
      <c r="G198">
        <v>14.3</v>
      </c>
      <c r="H198">
        <v>502.4</v>
      </c>
    </row>
    <row r="199" spans="1:8" x14ac:dyDescent="0.3">
      <c r="A199">
        <v>12.85</v>
      </c>
      <c r="B199">
        <v>477.47</v>
      </c>
      <c r="C199">
        <v>12.85</v>
      </c>
      <c r="D199">
        <v>475.73</v>
      </c>
      <c r="G199">
        <v>14.35</v>
      </c>
      <c r="H199">
        <v>503.13</v>
      </c>
    </row>
    <row r="200" spans="1:8" x14ac:dyDescent="0.3">
      <c r="A200">
        <v>12.9</v>
      </c>
      <c r="B200">
        <v>476.95</v>
      </c>
      <c r="C200">
        <v>12.9</v>
      </c>
      <c r="D200">
        <v>475.21</v>
      </c>
      <c r="G200">
        <v>14.4</v>
      </c>
      <c r="H200">
        <v>503.85</v>
      </c>
    </row>
    <row r="201" spans="1:8" x14ac:dyDescent="0.3">
      <c r="A201">
        <v>12.95</v>
      </c>
      <c r="B201">
        <v>476.44</v>
      </c>
      <c r="C201">
        <v>12.95</v>
      </c>
      <c r="D201">
        <v>474.69</v>
      </c>
      <c r="G201">
        <v>14.45</v>
      </c>
      <c r="H201">
        <v>504.59</v>
      </c>
    </row>
    <row r="202" spans="1:8" x14ac:dyDescent="0.3">
      <c r="A202">
        <v>13</v>
      </c>
      <c r="B202">
        <v>475.92</v>
      </c>
      <c r="C202">
        <v>13</v>
      </c>
      <c r="D202">
        <v>474.17</v>
      </c>
      <c r="G202">
        <v>14.5</v>
      </c>
      <c r="H202">
        <v>505.32</v>
      </c>
    </row>
    <row r="203" spans="1:8" x14ac:dyDescent="0.3">
      <c r="A203">
        <v>13.05</v>
      </c>
      <c r="B203">
        <v>475.41</v>
      </c>
      <c r="C203">
        <v>13.05</v>
      </c>
      <c r="D203">
        <v>473.65</v>
      </c>
      <c r="G203">
        <v>14.55</v>
      </c>
      <c r="H203">
        <v>506.07</v>
      </c>
    </row>
    <row r="204" spans="1:8" x14ac:dyDescent="0.3">
      <c r="A204">
        <v>13.1</v>
      </c>
      <c r="B204">
        <v>474.9</v>
      </c>
      <c r="C204">
        <v>13.1</v>
      </c>
      <c r="D204">
        <v>473.14</v>
      </c>
      <c r="G204">
        <v>14.6</v>
      </c>
      <c r="H204">
        <v>506.81</v>
      </c>
    </row>
    <row r="205" spans="1:8" x14ac:dyDescent="0.3">
      <c r="A205">
        <v>13.15</v>
      </c>
      <c r="B205">
        <v>474.4</v>
      </c>
      <c r="C205">
        <v>13.15</v>
      </c>
      <c r="D205">
        <v>472.63</v>
      </c>
      <c r="G205">
        <v>14.65</v>
      </c>
      <c r="H205">
        <v>507.56</v>
      </c>
    </row>
    <row r="206" spans="1:8" x14ac:dyDescent="0.3">
      <c r="A206">
        <v>13.2</v>
      </c>
      <c r="B206">
        <v>473.89</v>
      </c>
      <c r="C206">
        <v>13.2</v>
      </c>
      <c r="D206">
        <v>472.12</v>
      </c>
      <c r="G206">
        <v>14.7</v>
      </c>
      <c r="H206">
        <v>508.32</v>
      </c>
    </row>
    <row r="207" spans="1:8" x14ac:dyDescent="0.3">
      <c r="A207">
        <v>13.25</v>
      </c>
      <c r="B207">
        <v>473.39</v>
      </c>
      <c r="C207">
        <v>13.25</v>
      </c>
      <c r="D207">
        <v>471.61</v>
      </c>
      <c r="G207">
        <v>14.75</v>
      </c>
      <c r="H207">
        <v>509.08</v>
      </c>
    </row>
    <row r="208" spans="1:8" x14ac:dyDescent="0.3">
      <c r="A208">
        <v>13.3</v>
      </c>
      <c r="B208">
        <v>472.89</v>
      </c>
      <c r="C208">
        <v>13.3</v>
      </c>
      <c r="D208">
        <v>471.1</v>
      </c>
      <c r="G208">
        <v>14.8</v>
      </c>
      <c r="H208">
        <v>509.85</v>
      </c>
    </row>
    <row r="209" spans="1:8" x14ac:dyDescent="0.3">
      <c r="A209">
        <v>13.35</v>
      </c>
      <c r="B209">
        <v>472.4</v>
      </c>
      <c r="C209">
        <v>13.35</v>
      </c>
      <c r="D209">
        <v>470.6</v>
      </c>
      <c r="G209">
        <v>14.85</v>
      </c>
      <c r="H209">
        <v>510.62</v>
      </c>
    </row>
    <row r="210" spans="1:8" x14ac:dyDescent="0.3">
      <c r="A210">
        <v>13.4</v>
      </c>
      <c r="B210">
        <v>471.9</v>
      </c>
      <c r="C210">
        <v>13.4</v>
      </c>
      <c r="D210">
        <v>470.1</v>
      </c>
      <c r="G210">
        <v>14.9</v>
      </c>
      <c r="H210">
        <v>511.39</v>
      </c>
    </row>
    <row r="211" spans="1:8" x14ac:dyDescent="0.3">
      <c r="A211">
        <v>13.45</v>
      </c>
      <c r="B211">
        <v>471.41</v>
      </c>
      <c r="C211">
        <v>13.45</v>
      </c>
      <c r="D211">
        <v>469.6</v>
      </c>
      <c r="G211">
        <v>14.95</v>
      </c>
      <c r="H211">
        <v>512.16999999999996</v>
      </c>
    </row>
    <row r="212" spans="1:8" x14ac:dyDescent="0.3">
      <c r="A212">
        <v>13.5</v>
      </c>
      <c r="B212">
        <v>470.92</v>
      </c>
      <c r="C212">
        <v>13.5</v>
      </c>
      <c r="D212">
        <v>469.1</v>
      </c>
      <c r="G212">
        <v>15</v>
      </c>
      <c r="H212">
        <v>512.96</v>
      </c>
    </row>
    <row r="213" spans="1:8" x14ac:dyDescent="0.3">
      <c r="A213">
        <v>13.55</v>
      </c>
      <c r="B213">
        <v>470.43</v>
      </c>
      <c r="C213">
        <v>13.55</v>
      </c>
      <c r="D213">
        <v>468.6</v>
      </c>
      <c r="G213">
        <v>15.05</v>
      </c>
      <c r="H213">
        <v>513.75</v>
      </c>
    </row>
    <row r="214" spans="1:8" x14ac:dyDescent="0.3">
      <c r="A214">
        <v>13.6</v>
      </c>
      <c r="B214">
        <v>469.94</v>
      </c>
      <c r="C214">
        <v>13.6</v>
      </c>
      <c r="D214">
        <v>468.11</v>
      </c>
      <c r="G214">
        <v>15.1</v>
      </c>
      <c r="H214">
        <v>514.54</v>
      </c>
    </row>
    <row r="215" spans="1:8" x14ac:dyDescent="0.3">
      <c r="A215">
        <v>13.65</v>
      </c>
      <c r="B215">
        <v>469.45</v>
      </c>
      <c r="C215">
        <v>13.65</v>
      </c>
      <c r="D215">
        <v>467.62</v>
      </c>
      <c r="G215">
        <v>15.15</v>
      </c>
      <c r="H215">
        <v>515.34</v>
      </c>
    </row>
    <row r="216" spans="1:8" x14ac:dyDescent="0.3">
      <c r="A216">
        <v>13.7</v>
      </c>
      <c r="B216">
        <v>468.97</v>
      </c>
      <c r="C216">
        <v>13.7</v>
      </c>
      <c r="D216">
        <v>467.13</v>
      </c>
      <c r="G216">
        <v>15.2</v>
      </c>
      <c r="H216">
        <v>516.15</v>
      </c>
    </row>
    <row r="217" spans="1:8" x14ac:dyDescent="0.3">
      <c r="A217">
        <v>13.75</v>
      </c>
      <c r="B217">
        <v>468.49</v>
      </c>
      <c r="C217">
        <v>13.75</v>
      </c>
      <c r="D217">
        <v>466.64</v>
      </c>
      <c r="G217">
        <v>15.25</v>
      </c>
      <c r="H217">
        <v>516.96</v>
      </c>
    </row>
    <row r="218" spans="1:8" x14ac:dyDescent="0.3">
      <c r="A218">
        <v>13.8</v>
      </c>
      <c r="B218">
        <v>468.01</v>
      </c>
      <c r="C218">
        <v>13.8</v>
      </c>
      <c r="D218">
        <v>466.15</v>
      </c>
      <c r="G218">
        <v>15.3</v>
      </c>
      <c r="H218">
        <v>517.77</v>
      </c>
    </row>
    <row r="219" spans="1:8" x14ac:dyDescent="0.3">
      <c r="A219">
        <v>13.85</v>
      </c>
      <c r="B219">
        <v>467.53</v>
      </c>
      <c r="C219">
        <v>13.85</v>
      </c>
      <c r="D219">
        <v>465.67</v>
      </c>
      <c r="G219">
        <v>15.35</v>
      </c>
      <c r="H219">
        <v>518.59</v>
      </c>
    </row>
    <row r="220" spans="1:8" x14ac:dyDescent="0.3">
      <c r="A220">
        <v>13.9</v>
      </c>
      <c r="B220">
        <v>467.06</v>
      </c>
      <c r="C220">
        <v>13.9</v>
      </c>
      <c r="D220">
        <v>465.19</v>
      </c>
      <c r="G220">
        <v>15.4</v>
      </c>
      <c r="H220">
        <v>519.41999999999996</v>
      </c>
    </row>
    <row r="221" spans="1:8" x14ac:dyDescent="0.3">
      <c r="A221">
        <v>13.95</v>
      </c>
      <c r="B221">
        <v>466.58</v>
      </c>
      <c r="C221">
        <v>13.95</v>
      </c>
      <c r="D221">
        <v>464.71</v>
      </c>
      <c r="G221">
        <v>15.45</v>
      </c>
      <c r="H221">
        <v>520.25</v>
      </c>
    </row>
    <row r="222" spans="1:8" x14ac:dyDescent="0.3">
      <c r="A222">
        <v>14</v>
      </c>
      <c r="B222">
        <v>466.11</v>
      </c>
      <c r="C222">
        <v>14</v>
      </c>
      <c r="D222">
        <v>464.23</v>
      </c>
      <c r="G222">
        <v>15.5</v>
      </c>
      <c r="H222">
        <v>521.08000000000004</v>
      </c>
    </row>
    <row r="223" spans="1:8" x14ac:dyDescent="0.3">
      <c r="A223">
        <v>14.05</v>
      </c>
      <c r="B223">
        <v>465.64</v>
      </c>
      <c r="C223">
        <v>14.05</v>
      </c>
      <c r="D223">
        <v>463.76</v>
      </c>
      <c r="G223">
        <v>15.55</v>
      </c>
      <c r="H223">
        <v>521.92999999999995</v>
      </c>
    </row>
    <row r="224" spans="1:8" x14ac:dyDescent="0.3">
      <c r="A224">
        <v>14.1</v>
      </c>
      <c r="B224">
        <v>465.17</v>
      </c>
      <c r="C224">
        <v>14.1</v>
      </c>
      <c r="D224">
        <v>463.28</v>
      </c>
      <c r="G224">
        <v>15.6</v>
      </c>
      <c r="H224">
        <v>522.77</v>
      </c>
    </row>
    <row r="225" spans="1:8" x14ac:dyDescent="0.3">
      <c r="A225">
        <v>14.15</v>
      </c>
      <c r="B225">
        <v>464.71</v>
      </c>
      <c r="C225">
        <v>14.15</v>
      </c>
      <c r="D225">
        <v>462.81</v>
      </c>
      <c r="G225">
        <v>15.65</v>
      </c>
      <c r="H225">
        <v>523.63</v>
      </c>
    </row>
    <row r="226" spans="1:8" x14ac:dyDescent="0.3">
      <c r="A226">
        <v>14.2</v>
      </c>
      <c r="B226">
        <v>464.24</v>
      </c>
      <c r="C226">
        <v>14.2</v>
      </c>
      <c r="D226">
        <v>462.34</v>
      </c>
      <c r="G226">
        <v>15.7</v>
      </c>
      <c r="H226">
        <v>524.48</v>
      </c>
    </row>
    <row r="227" spans="1:8" x14ac:dyDescent="0.3">
      <c r="A227">
        <v>14.25</v>
      </c>
      <c r="B227">
        <v>463.78</v>
      </c>
      <c r="C227">
        <v>14.25</v>
      </c>
      <c r="D227">
        <v>461.87</v>
      </c>
      <c r="G227">
        <v>15.75</v>
      </c>
      <c r="H227">
        <v>525.35</v>
      </c>
    </row>
    <row r="228" spans="1:8" x14ac:dyDescent="0.3">
      <c r="A228">
        <v>14.3</v>
      </c>
      <c r="B228">
        <v>463.32</v>
      </c>
      <c r="C228">
        <v>14.3</v>
      </c>
      <c r="D228">
        <v>461.41</v>
      </c>
      <c r="G228">
        <v>15.8</v>
      </c>
      <c r="H228">
        <v>526.22</v>
      </c>
    </row>
    <row r="229" spans="1:8" x14ac:dyDescent="0.3">
      <c r="A229">
        <v>14.35</v>
      </c>
      <c r="B229">
        <v>462.86</v>
      </c>
      <c r="C229">
        <v>14.35</v>
      </c>
      <c r="D229">
        <v>460.94</v>
      </c>
      <c r="G229">
        <v>15.85</v>
      </c>
      <c r="H229">
        <v>527.09</v>
      </c>
    </row>
    <row r="230" spans="1:8" x14ac:dyDescent="0.3">
      <c r="A230">
        <v>14.4</v>
      </c>
      <c r="B230">
        <v>462.41</v>
      </c>
      <c r="C230">
        <v>14.4</v>
      </c>
      <c r="D230">
        <v>460.48</v>
      </c>
      <c r="G230">
        <v>15.9</v>
      </c>
      <c r="H230">
        <v>527.97</v>
      </c>
    </row>
    <row r="231" spans="1:8" x14ac:dyDescent="0.3">
      <c r="A231">
        <v>14.45</v>
      </c>
      <c r="B231">
        <v>461.95</v>
      </c>
      <c r="C231">
        <v>14.45</v>
      </c>
      <c r="D231">
        <v>460.02</v>
      </c>
      <c r="G231">
        <v>15.95</v>
      </c>
      <c r="H231">
        <v>528.86</v>
      </c>
    </row>
    <row r="232" spans="1:8" x14ac:dyDescent="0.3">
      <c r="A232">
        <v>14.5</v>
      </c>
      <c r="B232">
        <v>461.5</v>
      </c>
      <c r="C232">
        <v>14.5</v>
      </c>
      <c r="D232">
        <v>459.56</v>
      </c>
      <c r="G232">
        <v>16</v>
      </c>
      <c r="H232">
        <v>529.75</v>
      </c>
    </row>
    <row r="233" spans="1:8" x14ac:dyDescent="0.3">
      <c r="A233">
        <v>14.55</v>
      </c>
      <c r="B233">
        <v>461.05</v>
      </c>
      <c r="C233">
        <v>14.55</v>
      </c>
      <c r="D233">
        <v>459.1</v>
      </c>
      <c r="G233">
        <v>16.05</v>
      </c>
      <c r="H233">
        <v>530.65</v>
      </c>
    </row>
    <row r="234" spans="1:8" x14ac:dyDescent="0.3">
      <c r="A234">
        <v>14.6</v>
      </c>
      <c r="B234">
        <v>460.6</v>
      </c>
      <c r="C234">
        <v>14.6</v>
      </c>
      <c r="D234">
        <v>458.65</v>
      </c>
      <c r="G234">
        <v>16.100000000000001</v>
      </c>
      <c r="H234">
        <v>531.55999999999995</v>
      </c>
    </row>
    <row r="235" spans="1:8" x14ac:dyDescent="0.3">
      <c r="A235">
        <v>14.65</v>
      </c>
      <c r="B235">
        <v>460.15</v>
      </c>
      <c r="C235">
        <v>14.65</v>
      </c>
      <c r="D235">
        <v>458.2</v>
      </c>
      <c r="G235">
        <v>16.149999999999999</v>
      </c>
      <c r="H235">
        <v>532.47</v>
      </c>
    </row>
    <row r="236" spans="1:8" x14ac:dyDescent="0.3">
      <c r="A236">
        <v>14.7</v>
      </c>
      <c r="B236">
        <v>459.71</v>
      </c>
      <c r="C236">
        <v>14.7</v>
      </c>
      <c r="D236">
        <v>457.74</v>
      </c>
      <c r="G236">
        <v>16.2</v>
      </c>
      <c r="H236">
        <v>533.38</v>
      </c>
    </row>
    <row r="237" spans="1:8" x14ac:dyDescent="0.3">
      <c r="A237">
        <v>14.75</v>
      </c>
      <c r="B237">
        <v>459.26</v>
      </c>
      <c r="C237">
        <v>14.75</v>
      </c>
      <c r="D237">
        <v>457.3</v>
      </c>
      <c r="G237">
        <v>16.25</v>
      </c>
      <c r="H237">
        <v>534.29999999999995</v>
      </c>
    </row>
    <row r="238" spans="1:8" x14ac:dyDescent="0.3">
      <c r="A238">
        <v>14.8</v>
      </c>
      <c r="B238">
        <v>458.82</v>
      </c>
      <c r="C238">
        <v>14.8</v>
      </c>
      <c r="D238">
        <v>456.85</v>
      </c>
      <c r="G238">
        <v>16.3</v>
      </c>
      <c r="H238">
        <v>535.23</v>
      </c>
    </row>
    <row r="239" spans="1:8" x14ac:dyDescent="0.3">
      <c r="A239">
        <v>14.85</v>
      </c>
      <c r="B239">
        <v>458.38</v>
      </c>
      <c r="C239">
        <v>14.85</v>
      </c>
      <c r="D239">
        <v>456.4</v>
      </c>
      <c r="G239">
        <v>16.350000000000001</v>
      </c>
      <c r="H239">
        <v>536.16999999999996</v>
      </c>
    </row>
    <row r="240" spans="1:8" x14ac:dyDescent="0.3">
      <c r="A240">
        <v>14.9</v>
      </c>
      <c r="B240">
        <v>457.94</v>
      </c>
      <c r="C240">
        <v>14.9</v>
      </c>
      <c r="D240">
        <v>455.96</v>
      </c>
      <c r="G240">
        <v>16.399999999999999</v>
      </c>
      <c r="H240">
        <v>537.11</v>
      </c>
    </row>
    <row r="241" spans="1:8" x14ac:dyDescent="0.3">
      <c r="A241">
        <v>14.95</v>
      </c>
      <c r="B241">
        <v>457.5</v>
      </c>
      <c r="C241">
        <v>14.95</v>
      </c>
      <c r="D241">
        <v>455.52</v>
      </c>
      <c r="G241">
        <v>16.45</v>
      </c>
      <c r="H241">
        <v>538.04999999999995</v>
      </c>
    </row>
    <row r="242" spans="1:8" x14ac:dyDescent="0.3">
      <c r="A242">
        <v>15</v>
      </c>
      <c r="B242">
        <v>457.07</v>
      </c>
      <c r="C242">
        <v>15</v>
      </c>
      <c r="D242">
        <v>455.08</v>
      </c>
      <c r="G242">
        <v>16.5</v>
      </c>
      <c r="H242">
        <v>539.01</v>
      </c>
    </row>
    <row r="243" spans="1:8" x14ac:dyDescent="0.3">
      <c r="A243">
        <v>15.05</v>
      </c>
      <c r="B243">
        <v>456.64</v>
      </c>
      <c r="C243">
        <v>15.05</v>
      </c>
      <c r="D243">
        <v>454.64</v>
      </c>
      <c r="G243">
        <v>16.55</v>
      </c>
      <c r="H243">
        <v>539.97</v>
      </c>
    </row>
    <row r="244" spans="1:8" x14ac:dyDescent="0.3">
      <c r="A244">
        <v>15.1</v>
      </c>
      <c r="B244">
        <v>456.2</v>
      </c>
      <c r="C244">
        <v>15.1</v>
      </c>
      <c r="D244">
        <v>454.2</v>
      </c>
      <c r="G244">
        <v>16.600000000000001</v>
      </c>
      <c r="H244">
        <v>540.92999999999995</v>
      </c>
    </row>
    <row r="245" spans="1:8" x14ac:dyDescent="0.3">
      <c r="A245">
        <v>15.15</v>
      </c>
      <c r="B245">
        <v>455.78</v>
      </c>
      <c r="C245">
        <v>15.15</v>
      </c>
      <c r="D245">
        <v>453.77</v>
      </c>
      <c r="G245">
        <v>16.649999999999999</v>
      </c>
      <c r="H245">
        <v>541.9</v>
      </c>
    </row>
    <row r="246" spans="1:8" x14ac:dyDescent="0.3">
      <c r="A246">
        <v>15.2</v>
      </c>
      <c r="B246">
        <v>455.35</v>
      </c>
      <c r="C246">
        <v>15.2</v>
      </c>
      <c r="D246">
        <v>453.34</v>
      </c>
      <c r="G246">
        <v>16.7</v>
      </c>
      <c r="H246">
        <v>542.88</v>
      </c>
    </row>
    <row r="247" spans="1:8" x14ac:dyDescent="0.3">
      <c r="A247">
        <v>15.25</v>
      </c>
      <c r="B247">
        <v>454.92</v>
      </c>
      <c r="C247">
        <v>15.25</v>
      </c>
      <c r="D247">
        <v>452.91</v>
      </c>
      <c r="G247">
        <v>16.75</v>
      </c>
      <c r="H247">
        <v>543.87</v>
      </c>
    </row>
    <row r="248" spans="1:8" x14ac:dyDescent="0.3">
      <c r="A248">
        <v>15.3</v>
      </c>
      <c r="B248">
        <v>454.5</v>
      </c>
      <c r="C248">
        <v>15.3</v>
      </c>
      <c r="D248">
        <v>452.48</v>
      </c>
      <c r="G248">
        <v>16.8</v>
      </c>
      <c r="H248">
        <v>544.86</v>
      </c>
    </row>
    <row r="249" spans="1:8" x14ac:dyDescent="0.3">
      <c r="A249">
        <v>15.35</v>
      </c>
      <c r="B249">
        <v>454.07</v>
      </c>
      <c r="C249">
        <v>15.35</v>
      </c>
      <c r="D249">
        <v>452.05</v>
      </c>
      <c r="G249">
        <v>16.850000000000001</v>
      </c>
      <c r="H249">
        <v>545.86</v>
      </c>
    </row>
    <row r="250" spans="1:8" x14ac:dyDescent="0.3">
      <c r="A250">
        <v>15.4</v>
      </c>
      <c r="B250">
        <v>453.65</v>
      </c>
      <c r="C250">
        <v>15.4</v>
      </c>
      <c r="D250">
        <v>451.63</v>
      </c>
      <c r="G250">
        <v>16.899999999999999</v>
      </c>
      <c r="H250">
        <v>546.86</v>
      </c>
    </row>
    <row r="251" spans="1:8" x14ac:dyDescent="0.3">
      <c r="A251">
        <v>15.45</v>
      </c>
      <c r="B251">
        <v>453.23</v>
      </c>
      <c r="C251">
        <v>15.45</v>
      </c>
      <c r="D251">
        <v>451.2</v>
      </c>
      <c r="G251">
        <v>16.95</v>
      </c>
      <c r="H251">
        <v>547.87</v>
      </c>
    </row>
    <row r="252" spans="1:8" x14ac:dyDescent="0.3">
      <c r="A252">
        <v>15.5</v>
      </c>
      <c r="B252">
        <v>452.82</v>
      </c>
      <c r="C252">
        <v>15.5</v>
      </c>
      <c r="D252">
        <v>450.78</v>
      </c>
      <c r="G252">
        <v>17</v>
      </c>
      <c r="H252">
        <v>548.89</v>
      </c>
    </row>
    <row r="253" spans="1:8" x14ac:dyDescent="0.3">
      <c r="A253">
        <v>15.55</v>
      </c>
      <c r="B253">
        <v>452.4</v>
      </c>
      <c r="C253">
        <v>15.55</v>
      </c>
      <c r="D253">
        <v>450.36</v>
      </c>
      <c r="G253">
        <v>17.05</v>
      </c>
      <c r="H253">
        <v>549.91999999999996</v>
      </c>
    </row>
    <row r="254" spans="1:8" x14ac:dyDescent="0.3">
      <c r="A254">
        <v>15.6</v>
      </c>
      <c r="B254">
        <v>451.99</v>
      </c>
      <c r="C254">
        <v>15.6</v>
      </c>
      <c r="D254">
        <v>449.94</v>
      </c>
      <c r="G254">
        <v>17.100000000000001</v>
      </c>
      <c r="H254">
        <v>550.95000000000005</v>
      </c>
    </row>
    <row r="255" spans="1:8" x14ac:dyDescent="0.3">
      <c r="A255">
        <v>15.65</v>
      </c>
      <c r="B255">
        <v>451.58</v>
      </c>
      <c r="C255">
        <v>15.65</v>
      </c>
      <c r="D255">
        <v>449.53</v>
      </c>
      <c r="G255">
        <v>17.149999999999999</v>
      </c>
      <c r="H255">
        <v>551.99</v>
      </c>
    </row>
    <row r="256" spans="1:8" x14ac:dyDescent="0.3">
      <c r="A256">
        <v>15.7</v>
      </c>
      <c r="B256">
        <v>451.17</v>
      </c>
      <c r="C256">
        <v>15.7</v>
      </c>
      <c r="D256">
        <v>449.12</v>
      </c>
      <c r="G256">
        <v>17.2</v>
      </c>
      <c r="H256">
        <v>553.03</v>
      </c>
    </row>
    <row r="257" spans="1:8" x14ac:dyDescent="0.3">
      <c r="A257">
        <v>15.75</v>
      </c>
      <c r="B257">
        <v>450.76</v>
      </c>
      <c r="C257">
        <v>15.75</v>
      </c>
      <c r="D257">
        <v>448.7</v>
      </c>
      <c r="G257">
        <v>17.25</v>
      </c>
      <c r="H257">
        <v>554.08000000000004</v>
      </c>
    </row>
    <row r="258" spans="1:8" x14ac:dyDescent="0.3">
      <c r="A258">
        <v>15.8</v>
      </c>
      <c r="B258">
        <v>450.35</v>
      </c>
      <c r="C258">
        <v>15.8</v>
      </c>
      <c r="D258">
        <v>448.29</v>
      </c>
      <c r="G258">
        <v>17.3</v>
      </c>
      <c r="H258">
        <v>555.14</v>
      </c>
    </row>
    <row r="259" spans="1:8" x14ac:dyDescent="0.3">
      <c r="A259">
        <v>15.85</v>
      </c>
      <c r="B259">
        <v>449.95</v>
      </c>
      <c r="C259">
        <v>15.85</v>
      </c>
      <c r="D259">
        <v>447.89</v>
      </c>
      <c r="G259">
        <v>17.350000000000001</v>
      </c>
      <c r="H259">
        <v>556.21</v>
      </c>
    </row>
    <row r="260" spans="1:8" x14ac:dyDescent="0.3">
      <c r="A260">
        <v>15.9</v>
      </c>
      <c r="B260">
        <v>449.54</v>
      </c>
      <c r="C260">
        <v>15.9</v>
      </c>
      <c r="D260">
        <v>447.48</v>
      </c>
      <c r="G260">
        <v>17.399999999999999</v>
      </c>
      <c r="H260">
        <v>557.28</v>
      </c>
    </row>
    <row r="261" spans="1:8" x14ac:dyDescent="0.3">
      <c r="A261">
        <v>15.95</v>
      </c>
      <c r="B261">
        <v>449.14</v>
      </c>
      <c r="C261">
        <v>15.95</v>
      </c>
      <c r="D261">
        <v>447.08</v>
      </c>
      <c r="G261">
        <v>17.45</v>
      </c>
      <c r="H261">
        <v>558.37</v>
      </c>
    </row>
    <row r="262" spans="1:8" x14ac:dyDescent="0.3">
      <c r="A262">
        <v>16</v>
      </c>
      <c r="B262">
        <v>448.74</v>
      </c>
      <c r="C262">
        <v>16</v>
      </c>
      <c r="D262">
        <v>446.67</v>
      </c>
      <c r="G262">
        <v>17.5</v>
      </c>
      <c r="H262">
        <v>559.45000000000005</v>
      </c>
    </row>
    <row r="263" spans="1:8" x14ac:dyDescent="0.3">
      <c r="A263">
        <v>16.05</v>
      </c>
      <c r="B263">
        <v>448.35</v>
      </c>
      <c r="C263">
        <v>16.05</v>
      </c>
      <c r="D263">
        <v>446.27</v>
      </c>
      <c r="G263">
        <v>17.55</v>
      </c>
      <c r="H263">
        <v>560.54999999999995</v>
      </c>
    </row>
    <row r="264" spans="1:8" x14ac:dyDescent="0.3">
      <c r="A264">
        <v>16.100000000000001</v>
      </c>
      <c r="B264">
        <v>447.95</v>
      </c>
      <c r="C264">
        <v>16.100000000000001</v>
      </c>
      <c r="D264">
        <v>445.88</v>
      </c>
      <c r="G264">
        <v>17.600000000000001</v>
      </c>
      <c r="H264">
        <v>561.65</v>
      </c>
    </row>
    <row r="265" spans="1:8" x14ac:dyDescent="0.3">
      <c r="A265">
        <v>16.149999999999999</v>
      </c>
      <c r="B265">
        <v>447.56</v>
      </c>
      <c r="C265">
        <v>16.149999999999999</v>
      </c>
      <c r="D265">
        <v>445.48</v>
      </c>
      <c r="G265">
        <v>17.649999999999999</v>
      </c>
      <c r="H265">
        <v>562.76</v>
      </c>
    </row>
    <row r="266" spans="1:8" x14ac:dyDescent="0.3">
      <c r="A266">
        <v>16.2</v>
      </c>
      <c r="B266">
        <v>447.16</v>
      </c>
      <c r="C266">
        <v>16.2</v>
      </c>
      <c r="D266">
        <v>445.08</v>
      </c>
      <c r="G266">
        <v>17.7</v>
      </c>
      <c r="H266">
        <v>563.88</v>
      </c>
    </row>
    <row r="267" spans="1:8" x14ac:dyDescent="0.3">
      <c r="A267">
        <v>16.25</v>
      </c>
      <c r="B267">
        <v>446.77</v>
      </c>
      <c r="C267">
        <v>16.25</v>
      </c>
      <c r="D267">
        <v>444.69</v>
      </c>
      <c r="G267">
        <v>17.75</v>
      </c>
      <c r="H267">
        <v>565.01</v>
      </c>
    </row>
    <row r="268" spans="1:8" x14ac:dyDescent="0.3">
      <c r="A268">
        <v>16.3</v>
      </c>
      <c r="B268">
        <v>446.38</v>
      </c>
      <c r="C268">
        <v>16.3</v>
      </c>
      <c r="D268">
        <v>444.3</v>
      </c>
      <c r="G268">
        <v>17.8</v>
      </c>
      <c r="H268">
        <v>566.14</v>
      </c>
    </row>
    <row r="269" spans="1:8" x14ac:dyDescent="0.3">
      <c r="A269">
        <v>16.350000000000001</v>
      </c>
      <c r="B269">
        <v>446</v>
      </c>
      <c r="C269">
        <v>16.350000000000001</v>
      </c>
      <c r="D269">
        <v>443.91</v>
      </c>
      <c r="G269">
        <v>17.850000000000001</v>
      </c>
      <c r="H269">
        <v>567.28</v>
      </c>
    </row>
    <row r="270" spans="1:8" x14ac:dyDescent="0.3">
      <c r="A270">
        <v>16.399999999999999</v>
      </c>
      <c r="B270">
        <v>445.61</v>
      </c>
      <c r="C270">
        <v>16.399999999999999</v>
      </c>
      <c r="D270">
        <v>443.53</v>
      </c>
      <c r="G270">
        <v>17.899999999999999</v>
      </c>
      <c r="H270">
        <v>568.42999999999995</v>
      </c>
    </row>
    <row r="271" spans="1:8" x14ac:dyDescent="0.3">
      <c r="A271">
        <v>16.45</v>
      </c>
      <c r="B271">
        <v>445.23</v>
      </c>
      <c r="C271">
        <v>16.45</v>
      </c>
      <c r="D271">
        <v>443.14</v>
      </c>
      <c r="G271">
        <v>17.95</v>
      </c>
      <c r="H271">
        <v>569.58000000000004</v>
      </c>
    </row>
    <row r="272" spans="1:8" x14ac:dyDescent="0.3">
      <c r="A272">
        <v>16.5</v>
      </c>
      <c r="B272">
        <v>444.85</v>
      </c>
      <c r="C272">
        <v>16.5</v>
      </c>
      <c r="D272">
        <v>442.76</v>
      </c>
      <c r="G272">
        <v>18</v>
      </c>
      <c r="H272">
        <v>570.75</v>
      </c>
    </row>
    <row r="273" spans="1:8" x14ac:dyDescent="0.3">
      <c r="A273">
        <v>16.55</v>
      </c>
      <c r="B273">
        <v>444.47</v>
      </c>
      <c r="C273">
        <v>16.55</v>
      </c>
      <c r="D273">
        <v>442.38</v>
      </c>
      <c r="G273">
        <v>18.05</v>
      </c>
      <c r="H273">
        <v>571.91999999999996</v>
      </c>
    </row>
    <row r="274" spans="1:8" x14ac:dyDescent="0.3">
      <c r="A274">
        <v>16.600000000000001</v>
      </c>
      <c r="B274">
        <v>444.09</v>
      </c>
      <c r="C274">
        <v>16.600000000000001</v>
      </c>
      <c r="D274">
        <v>442</v>
      </c>
      <c r="G274">
        <v>18.100000000000001</v>
      </c>
      <c r="H274">
        <v>573.1</v>
      </c>
    </row>
    <row r="275" spans="1:8" x14ac:dyDescent="0.3">
      <c r="A275">
        <v>16.649999999999999</v>
      </c>
      <c r="B275">
        <v>443.72</v>
      </c>
      <c r="C275">
        <v>16.649999999999999</v>
      </c>
      <c r="D275">
        <v>441.63</v>
      </c>
      <c r="G275">
        <v>18.149999999999999</v>
      </c>
      <c r="H275">
        <v>574.29</v>
      </c>
    </row>
    <row r="276" spans="1:8" x14ac:dyDescent="0.3">
      <c r="A276">
        <v>16.7</v>
      </c>
      <c r="B276">
        <v>443.34</v>
      </c>
      <c r="C276">
        <v>16.7</v>
      </c>
      <c r="D276">
        <v>441.25</v>
      </c>
      <c r="G276">
        <v>18.2</v>
      </c>
      <c r="H276">
        <v>575.48</v>
      </c>
    </row>
    <row r="277" spans="1:8" x14ac:dyDescent="0.3">
      <c r="A277">
        <v>16.75</v>
      </c>
      <c r="B277">
        <v>442.97</v>
      </c>
      <c r="C277">
        <v>16.75</v>
      </c>
      <c r="D277">
        <v>440.88</v>
      </c>
      <c r="G277">
        <v>18.25</v>
      </c>
      <c r="H277">
        <v>576.67999999999995</v>
      </c>
    </row>
    <row r="278" spans="1:8" x14ac:dyDescent="0.3">
      <c r="A278">
        <v>16.8</v>
      </c>
      <c r="B278">
        <v>442.6</v>
      </c>
      <c r="C278">
        <v>16.8</v>
      </c>
      <c r="D278">
        <v>440.51</v>
      </c>
      <c r="G278">
        <v>18.3</v>
      </c>
      <c r="H278">
        <v>577.9</v>
      </c>
    </row>
    <row r="279" spans="1:8" x14ac:dyDescent="0.3">
      <c r="A279">
        <v>16.850000000000001</v>
      </c>
      <c r="B279">
        <v>442.23</v>
      </c>
      <c r="C279">
        <v>16.850000000000001</v>
      </c>
      <c r="D279">
        <v>440.14</v>
      </c>
      <c r="G279">
        <v>18.350000000000001</v>
      </c>
      <c r="H279">
        <v>579.11</v>
      </c>
    </row>
    <row r="280" spans="1:8" x14ac:dyDescent="0.3">
      <c r="A280">
        <v>16.899999999999999</v>
      </c>
      <c r="B280">
        <v>441.87</v>
      </c>
      <c r="C280">
        <v>16.899999999999999</v>
      </c>
      <c r="D280">
        <v>439.78</v>
      </c>
      <c r="G280">
        <v>18.399999999999999</v>
      </c>
      <c r="H280">
        <v>580.34</v>
      </c>
    </row>
    <row r="281" spans="1:8" x14ac:dyDescent="0.3">
      <c r="A281">
        <v>16.9499999999999</v>
      </c>
      <c r="B281">
        <v>441.5</v>
      </c>
      <c r="C281">
        <v>16.9499999999999</v>
      </c>
      <c r="D281">
        <v>439.42</v>
      </c>
      <c r="G281">
        <v>18.4499999999999</v>
      </c>
      <c r="H281">
        <v>581.58000000000004</v>
      </c>
    </row>
    <row r="282" spans="1:8" x14ac:dyDescent="0.3">
      <c r="A282">
        <v>17</v>
      </c>
      <c r="B282">
        <v>441.14</v>
      </c>
      <c r="C282">
        <v>17</v>
      </c>
      <c r="D282">
        <v>439.05</v>
      </c>
      <c r="G282">
        <v>18.5</v>
      </c>
      <c r="H282">
        <v>582.82000000000005</v>
      </c>
    </row>
    <row r="283" spans="1:8" x14ac:dyDescent="0.3">
      <c r="A283">
        <v>17.05</v>
      </c>
      <c r="B283">
        <v>440.78</v>
      </c>
      <c r="C283">
        <v>17.05</v>
      </c>
      <c r="D283">
        <v>438.7</v>
      </c>
    </row>
    <row r="284" spans="1:8" x14ac:dyDescent="0.3">
      <c r="A284">
        <v>17.099999999999898</v>
      </c>
      <c r="B284">
        <v>440.42</v>
      </c>
      <c r="C284">
        <v>17.099999999999898</v>
      </c>
      <c r="D284">
        <v>438.34</v>
      </c>
    </row>
    <row r="285" spans="1:8" x14ac:dyDescent="0.3">
      <c r="A285">
        <v>17.149999999999899</v>
      </c>
      <c r="B285">
        <v>440.06</v>
      </c>
      <c r="C285">
        <v>17.149999999999899</v>
      </c>
      <c r="D285">
        <v>437.98</v>
      </c>
    </row>
    <row r="286" spans="1:8" x14ac:dyDescent="0.3">
      <c r="A286">
        <v>17.1999999999999</v>
      </c>
      <c r="B286">
        <v>439.71</v>
      </c>
      <c r="C286">
        <v>17.1999999999999</v>
      </c>
      <c r="D286">
        <v>437.63</v>
      </c>
    </row>
    <row r="287" spans="1:8" x14ac:dyDescent="0.3">
      <c r="A287">
        <v>17.25</v>
      </c>
      <c r="B287">
        <v>439.36</v>
      </c>
      <c r="C287">
        <v>17.25</v>
      </c>
      <c r="D287">
        <v>437.28</v>
      </c>
    </row>
    <row r="288" spans="1:8" x14ac:dyDescent="0.3">
      <c r="A288">
        <v>17.299999999999901</v>
      </c>
      <c r="B288">
        <v>439.01</v>
      </c>
      <c r="C288">
        <v>17.299999999999901</v>
      </c>
      <c r="D288">
        <v>436.94</v>
      </c>
    </row>
    <row r="289" spans="1:4" x14ac:dyDescent="0.3">
      <c r="A289">
        <v>17.349999999999898</v>
      </c>
      <c r="B289">
        <v>438.66</v>
      </c>
      <c r="C289">
        <v>17.349999999999898</v>
      </c>
      <c r="D289">
        <v>436.59</v>
      </c>
    </row>
    <row r="290" spans="1:4" x14ac:dyDescent="0.3">
      <c r="A290">
        <v>17.399999999999899</v>
      </c>
      <c r="B290">
        <v>438.31</v>
      </c>
      <c r="C290">
        <v>17.399999999999899</v>
      </c>
      <c r="D290">
        <v>436.25</v>
      </c>
    </row>
    <row r="291" spans="1:4" x14ac:dyDescent="0.3">
      <c r="A291">
        <v>17.4499999999999</v>
      </c>
      <c r="B291">
        <v>437.97</v>
      </c>
      <c r="C291">
        <v>17.4499999999999</v>
      </c>
      <c r="D291">
        <v>435.91</v>
      </c>
    </row>
    <row r="292" spans="1:4" x14ac:dyDescent="0.3">
      <c r="A292">
        <v>17.499999999999901</v>
      </c>
      <c r="B292">
        <v>437.62</v>
      </c>
      <c r="C292">
        <v>17.499999999999901</v>
      </c>
      <c r="D292">
        <v>435.57</v>
      </c>
    </row>
    <row r="293" spans="1:4" x14ac:dyDescent="0.3">
      <c r="A293">
        <v>17.549999999999901</v>
      </c>
      <c r="B293">
        <v>437.28</v>
      </c>
      <c r="C293">
        <v>17.549999999999901</v>
      </c>
      <c r="D293">
        <v>435.23</v>
      </c>
    </row>
    <row r="294" spans="1:4" x14ac:dyDescent="0.3">
      <c r="A294">
        <v>17.599999999999898</v>
      </c>
      <c r="B294">
        <v>436.95</v>
      </c>
      <c r="C294">
        <v>17.599999999999898</v>
      </c>
      <c r="D294">
        <v>434.9</v>
      </c>
    </row>
    <row r="295" spans="1:4" x14ac:dyDescent="0.3">
      <c r="A295">
        <v>17.649999999999899</v>
      </c>
      <c r="B295">
        <v>436.61</v>
      </c>
      <c r="C295">
        <v>17.649999999999899</v>
      </c>
      <c r="D295">
        <v>434.57</v>
      </c>
    </row>
    <row r="296" spans="1:4" x14ac:dyDescent="0.3">
      <c r="A296">
        <v>17.6999999999999</v>
      </c>
      <c r="B296">
        <v>436.28</v>
      </c>
      <c r="C296">
        <v>17.6999999999999</v>
      </c>
      <c r="D296">
        <v>434.24</v>
      </c>
    </row>
    <row r="297" spans="1:4" x14ac:dyDescent="0.3">
      <c r="A297">
        <v>17.749999999999901</v>
      </c>
      <c r="B297">
        <v>435.94</v>
      </c>
      <c r="C297">
        <v>17.749999999999901</v>
      </c>
      <c r="D297">
        <v>433.91</v>
      </c>
    </row>
    <row r="298" spans="1:4" x14ac:dyDescent="0.3">
      <c r="A298">
        <v>17.799999999999901</v>
      </c>
      <c r="B298">
        <v>435.62</v>
      </c>
      <c r="C298">
        <v>17.799999999999901</v>
      </c>
      <c r="D298">
        <v>433.59</v>
      </c>
    </row>
    <row r="299" spans="1:4" x14ac:dyDescent="0.3">
      <c r="A299">
        <v>17.849999999999898</v>
      </c>
      <c r="B299">
        <v>435.29</v>
      </c>
      <c r="C299">
        <v>17.849999999999898</v>
      </c>
      <c r="D299">
        <v>433.27</v>
      </c>
    </row>
    <row r="300" spans="1:4" x14ac:dyDescent="0.3">
      <c r="A300">
        <v>17.899999999999899</v>
      </c>
      <c r="B300">
        <v>434.96</v>
      </c>
      <c r="C300">
        <v>17.899999999999899</v>
      </c>
      <c r="D300">
        <v>432.95</v>
      </c>
    </row>
    <row r="301" spans="1:4" x14ac:dyDescent="0.3">
      <c r="A301">
        <v>17.9499999999999</v>
      </c>
      <c r="B301">
        <v>434.64</v>
      </c>
      <c r="C301">
        <v>17.9499999999999</v>
      </c>
      <c r="D301">
        <v>432.64</v>
      </c>
    </row>
    <row r="302" spans="1:4" x14ac:dyDescent="0.3">
      <c r="A302">
        <v>17.999999999999901</v>
      </c>
      <c r="B302">
        <v>434.32</v>
      </c>
      <c r="C302">
        <v>17.999999999999901</v>
      </c>
      <c r="D302">
        <v>432.32</v>
      </c>
    </row>
    <row r="303" spans="1:4" x14ac:dyDescent="0.3">
      <c r="A303">
        <v>18.049999999999901</v>
      </c>
      <c r="B303">
        <v>434</v>
      </c>
      <c r="C303">
        <v>18.049999999999901</v>
      </c>
      <c r="D303">
        <v>432.01</v>
      </c>
    </row>
    <row r="304" spans="1:4" x14ac:dyDescent="0.3">
      <c r="A304">
        <v>18.099999999999898</v>
      </c>
      <c r="B304">
        <v>433.69</v>
      </c>
      <c r="C304">
        <v>18.099999999999898</v>
      </c>
      <c r="D304">
        <v>431.7</v>
      </c>
    </row>
    <row r="305" spans="1:4" x14ac:dyDescent="0.3">
      <c r="A305">
        <v>18.149999999999899</v>
      </c>
      <c r="B305">
        <v>433.37</v>
      </c>
      <c r="C305">
        <v>18.149999999999899</v>
      </c>
      <c r="D305">
        <v>431.4</v>
      </c>
    </row>
    <row r="306" spans="1:4" x14ac:dyDescent="0.3">
      <c r="A306">
        <v>18.1999999999999</v>
      </c>
      <c r="B306">
        <v>433.06</v>
      </c>
      <c r="C306">
        <v>18.1999999999999</v>
      </c>
      <c r="D306">
        <v>431.1</v>
      </c>
    </row>
    <row r="307" spans="1:4" x14ac:dyDescent="0.3">
      <c r="A307">
        <v>18.249999999999901</v>
      </c>
      <c r="B307">
        <v>432.75</v>
      </c>
      <c r="C307">
        <v>18.249999999999901</v>
      </c>
      <c r="D307">
        <v>430.8</v>
      </c>
    </row>
    <row r="308" spans="1:4" x14ac:dyDescent="0.3">
      <c r="A308">
        <v>18.299999999999901</v>
      </c>
      <c r="B308">
        <v>432.44</v>
      </c>
      <c r="C308">
        <v>18.299999999999901</v>
      </c>
      <c r="D308">
        <v>430.5</v>
      </c>
    </row>
    <row r="309" spans="1:4" x14ac:dyDescent="0.3">
      <c r="A309">
        <v>18.349999999999898</v>
      </c>
      <c r="B309">
        <v>432.14</v>
      </c>
      <c r="C309">
        <v>18.349999999999898</v>
      </c>
      <c r="D309">
        <v>430.21</v>
      </c>
    </row>
    <row r="310" spans="1:4" x14ac:dyDescent="0.3">
      <c r="A310">
        <v>18.399999999999899</v>
      </c>
      <c r="B310">
        <v>431.84</v>
      </c>
      <c r="C310">
        <v>18.399999999999899</v>
      </c>
      <c r="D310">
        <v>429.92</v>
      </c>
    </row>
    <row r="311" spans="1:4" x14ac:dyDescent="0.3">
      <c r="A311">
        <v>18.4499999999999</v>
      </c>
      <c r="B311">
        <v>431.54</v>
      </c>
      <c r="C311">
        <v>18.4499999999999</v>
      </c>
      <c r="D311">
        <v>429.63</v>
      </c>
    </row>
    <row r="312" spans="1:4" x14ac:dyDescent="0.3">
      <c r="A312">
        <v>18.499999999999901</v>
      </c>
      <c r="B312">
        <v>431.24</v>
      </c>
      <c r="C312">
        <v>18.499999999999901</v>
      </c>
      <c r="D312">
        <v>429.34</v>
      </c>
    </row>
    <row r="313" spans="1:4" x14ac:dyDescent="0.3">
      <c r="A313">
        <v>18.549999999999901</v>
      </c>
      <c r="B313">
        <v>430.95</v>
      </c>
      <c r="C313">
        <v>18.549999999999901</v>
      </c>
      <c r="D313">
        <v>429.06</v>
      </c>
    </row>
    <row r="314" spans="1:4" x14ac:dyDescent="0.3">
      <c r="A314">
        <v>18.599999999999898</v>
      </c>
      <c r="B314">
        <v>430.65</v>
      </c>
      <c r="C314">
        <v>18.599999999999898</v>
      </c>
      <c r="D314">
        <v>428.78</v>
      </c>
    </row>
    <row r="315" spans="1:4" x14ac:dyDescent="0.3">
      <c r="A315">
        <v>18.649999999999899</v>
      </c>
      <c r="B315">
        <v>430.36</v>
      </c>
      <c r="C315">
        <v>18.649999999999899</v>
      </c>
      <c r="D315">
        <v>428.5</v>
      </c>
    </row>
    <row r="316" spans="1:4" x14ac:dyDescent="0.3">
      <c r="A316">
        <v>18.6999999999999</v>
      </c>
      <c r="B316">
        <v>430.08</v>
      </c>
      <c r="C316">
        <v>18.6999999999999</v>
      </c>
      <c r="D316">
        <v>428.23</v>
      </c>
    </row>
    <row r="317" spans="1:4" x14ac:dyDescent="0.3">
      <c r="A317">
        <v>18.749999999999901</v>
      </c>
      <c r="B317">
        <v>429.79</v>
      </c>
      <c r="C317">
        <v>18.749999999999901</v>
      </c>
      <c r="D317">
        <v>427.96</v>
      </c>
    </row>
    <row r="318" spans="1:4" x14ac:dyDescent="0.3">
      <c r="A318">
        <v>18.799999999999901</v>
      </c>
      <c r="B318">
        <v>429.51</v>
      </c>
      <c r="C318">
        <v>18.799999999999901</v>
      </c>
      <c r="D318">
        <v>427.69</v>
      </c>
    </row>
    <row r="319" spans="1:4" x14ac:dyDescent="0.3">
      <c r="A319">
        <v>18.849999999999898</v>
      </c>
      <c r="B319">
        <v>429.23</v>
      </c>
      <c r="C319">
        <v>18.849999999999898</v>
      </c>
      <c r="D319">
        <v>427.43</v>
      </c>
    </row>
    <row r="320" spans="1:4" x14ac:dyDescent="0.3">
      <c r="A320">
        <v>18.899999999999899</v>
      </c>
      <c r="B320">
        <v>428.96</v>
      </c>
      <c r="C320">
        <v>18.899999999999899</v>
      </c>
      <c r="D320">
        <v>427.17</v>
      </c>
    </row>
    <row r="321" spans="1:4" x14ac:dyDescent="0.3">
      <c r="A321">
        <v>18.9499999999999</v>
      </c>
      <c r="B321">
        <v>428.68</v>
      </c>
      <c r="C321">
        <v>18.9499999999999</v>
      </c>
      <c r="D321">
        <v>426.91</v>
      </c>
    </row>
    <row r="322" spans="1:4" x14ac:dyDescent="0.3">
      <c r="A322">
        <v>18.999999999999901</v>
      </c>
      <c r="B322">
        <v>428.41</v>
      </c>
      <c r="C322">
        <v>18.999999999999901</v>
      </c>
      <c r="D322">
        <v>426.65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2"/>
  <sheetViews>
    <sheetView topLeftCell="H1" zoomScale="75" zoomScaleNormal="75" workbookViewId="0">
      <selection activeCell="K5" sqref="K5"/>
    </sheetView>
  </sheetViews>
  <sheetFormatPr defaultColWidth="8.77734375" defaultRowHeight="14.4" x14ac:dyDescent="0.3"/>
  <cols>
    <col min="1" max="2" width="13.77734375" customWidth="1"/>
    <col min="3" max="3" width="18.77734375" customWidth="1"/>
    <col min="4" max="4" width="16.21875" customWidth="1"/>
  </cols>
  <sheetData>
    <row r="1" spans="1:9" x14ac:dyDescent="0.3">
      <c r="A1" t="s">
        <v>2</v>
      </c>
      <c r="C1" t="s">
        <v>3</v>
      </c>
      <c r="D1" t="s">
        <v>6</v>
      </c>
      <c r="H1" t="s">
        <v>0</v>
      </c>
      <c r="I1" t="s">
        <v>1</v>
      </c>
    </row>
    <row r="2" spans="1:9" x14ac:dyDescent="0.3">
      <c r="A2">
        <v>3</v>
      </c>
      <c r="B2">
        <f>A2/10</f>
        <v>0.3</v>
      </c>
      <c r="C2">
        <v>670.27</v>
      </c>
      <c r="D2" s="1">
        <v>0.6479166666666667</v>
      </c>
      <c r="E2">
        <f>LOG10(C2)</f>
        <v>2.8262497816404433</v>
      </c>
      <c r="H2">
        <v>3</v>
      </c>
      <c r="I2">
        <f>25.6069*(H2/10)^4 - 156.9516*(H2/10)^3 + 395.6554*(H2/10)^2 - 559.80856*(H2/10) +806.2479</f>
        <v>669.88404068999989</v>
      </c>
    </row>
    <row r="3" spans="1:9" x14ac:dyDescent="0.3">
      <c r="A3">
        <v>3.5</v>
      </c>
      <c r="B3">
        <f t="shared" ref="B3:B34" si="0">A3/10</f>
        <v>0.35</v>
      </c>
      <c r="C3">
        <v>652.63</v>
      </c>
      <c r="D3" s="1">
        <v>0.65277777777777779</v>
      </c>
      <c r="E3">
        <f t="shared" ref="E3:E38" si="1">LOG10(C3)</f>
        <v>2.8146670334956787</v>
      </c>
      <c r="H3">
        <v>3.1</v>
      </c>
      <c r="I3">
        <f t="shared" ref="I3:I66" si="2">25.6069*(H3/10)^4 - 156.9516*(H3/10)^3 + 395.6554*(H3/10)^2 - 559.80856*(H3/10) +806.2479</f>
        <v>666.29047032334893</v>
      </c>
    </row>
    <row r="4" spans="1:9" x14ac:dyDescent="0.3">
      <c r="A4">
        <v>4</v>
      </c>
      <c r="B4">
        <f t="shared" si="0"/>
        <v>0.4</v>
      </c>
      <c r="C4">
        <v>636.27</v>
      </c>
      <c r="D4">
        <v>15.42</v>
      </c>
      <c r="E4">
        <f t="shared" si="1"/>
        <v>2.8036414468232027</v>
      </c>
      <c r="H4">
        <v>3.2</v>
      </c>
      <c r="I4">
        <f t="shared" si="2"/>
        <v>662.7497915389439</v>
      </c>
    </row>
    <row r="5" spans="1:9" x14ac:dyDescent="0.3">
      <c r="A5">
        <v>4.5</v>
      </c>
      <c r="B5">
        <f t="shared" si="0"/>
        <v>0.45</v>
      </c>
      <c r="C5">
        <v>620.51</v>
      </c>
      <c r="D5">
        <v>15.43</v>
      </c>
      <c r="E5">
        <f t="shared" si="1"/>
        <v>2.7927487848836186</v>
      </c>
      <c r="H5">
        <v>3.3</v>
      </c>
      <c r="I5">
        <f t="shared" si="2"/>
        <v>659.26125621534902</v>
      </c>
    </row>
    <row r="6" spans="1:9" x14ac:dyDescent="0.3">
      <c r="A6">
        <v>5</v>
      </c>
      <c r="B6">
        <f t="shared" si="0"/>
        <v>0.5</v>
      </c>
      <c r="C6">
        <v>606.78</v>
      </c>
      <c r="D6">
        <v>15.44</v>
      </c>
      <c r="E6">
        <f t="shared" si="1"/>
        <v>2.7830312576242782</v>
      </c>
      <c r="H6">
        <v>3.4</v>
      </c>
      <c r="I6">
        <f t="shared" si="2"/>
        <v>655.82412237678398</v>
      </c>
    </row>
    <row r="7" spans="1:9" x14ac:dyDescent="0.3">
      <c r="A7">
        <v>5.5</v>
      </c>
      <c r="B7">
        <f t="shared" si="0"/>
        <v>0.55000000000000004</v>
      </c>
      <c r="C7">
        <v>594.04999999999995</v>
      </c>
      <c r="D7">
        <v>15.45</v>
      </c>
      <c r="E7">
        <f t="shared" si="1"/>
        <v>2.7738230002172659</v>
      </c>
      <c r="H7">
        <v>3.5</v>
      </c>
      <c r="I7">
        <f t="shared" si="2"/>
        <v>652.4376541931249</v>
      </c>
    </row>
    <row r="8" spans="1:9" x14ac:dyDescent="0.3">
      <c r="A8">
        <v>6</v>
      </c>
      <c r="B8">
        <f t="shared" si="0"/>
        <v>0.6</v>
      </c>
      <c r="C8">
        <v>582.33000000000004</v>
      </c>
      <c r="D8">
        <v>15.46</v>
      </c>
      <c r="E8">
        <f t="shared" si="1"/>
        <v>2.7651691643117808</v>
      </c>
      <c r="H8">
        <v>3.6</v>
      </c>
      <c r="I8">
        <f t="shared" si="2"/>
        <v>649.10112197990395</v>
      </c>
    </row>
    <row r="9" spans="1:9" x14ac:dyDescent="0.3">
      <c r="A9">
        <v>6.5</v>
      </c>
      <c r="B9">
        <f t="shared" si="0"/>
        <v>0.65</v>
      </c>
      <c r="C9">
        <v>570.91999999999996</v>
      </c>
      <c r="D9">
        <v>15.47</v>
      </c>
      <c r="E9">
        <f t="shared" si="1"/>
        <v>2.756575257120359</v>
      </c>
      <c r="H9">
        <v>3.7</v>
      </c>
      <c r="I9">
        <f t="shared" si="2"/>
        <v>645.81380219830896</v>
      </c>
    </row>
    <row r="10" spans="1:9" x14ac:dyDescent="0.3">
      <c r="A10">
        <v>7</v>
      </c>
      <c r="B10">
        <f t="shared" si="0"/>
        <v>0.7</v>
      </c>
      <c r="C10">
        <v>560.54</v>
      </c>
      <c r="D10">
        <v>15.48</v>
      </c>
      <c r="E10">
        <f t="shared" si="1"/>
        <v>2.7486066091869032</v>
      </c>
      <c r="H10">
        <v>3.8</v>
      </c>
      <c r="I10">
        <f t="shared" si="2"/>
        <v>642.5749774551839</v>
      </c>
    </row>
    <row r="11" spans="1:9" x14ac:dyDescent="0.3">
      <c r="A11">
        <v>7.5</v>
      </c>
      <c r="B11">
        <f t="shared" si="0"/>
        <v>0.75</v>
      </c>
      <c r="C11">
        <v>551.21</v>
      </c>
      <c r="D11">
        <v>15.48</v>
      </c>
      <c r="E11">
        <f t="shared" si="1"/>
        <v>2.7413170879007018</v>
      </c>
      <c r="H11">
        <v>3.9</v>
      </c>
      <c r="I11">
        <f t="shared" si="2"/>
        <v>639.38393650302896</v>
      </c>
    </row>
    <row r="12" spans="1:9" x14ac:dyDescent="0.3">
      <c r="A12">
        <v>8</v>
      </c>
      <c r="B12">
        <f t="shared" si="0"/>
        <v>0.8</v>
      </c>
      <c r="C12">
        <v>542.21</v>
      </c>
      <c r="D12">
        <v>15.49</v>
      </c>
      <c r="E12">
        <f t="shared" si="1"/>
        <v>2.7341675230282556</v>
      </c>
      <c r="H12">
        <v>4</v>
      </c>
      <c r="I12">
        <f t="shared" si="2"/>
        <v>636.23997423999992</v>
      </c>
    </row>
    <row r="13" spans="1:9" x14ac:dyDescent="0.3">
      <c r="A13">
        <v>8.5</v>
      </c>
      <c r="B13">
        <f t="shared" si="0"/>
        <v>0.85</v>
      </c>
      <c r="C13">
        <v>533.17999999999995</v>
      </c>
      <c r="D13">
        <v>15.5</v>
      </c>
      <c r="E13">
        <f t="shared" si="1"/>
        <v>2.7268738503206977</v>
      </c>
      <c r="H13">
        <v>4.0999999999999996</v>
      </c>
      <c r="I13">
        <f t="shared" si="2"/>
        <v>633.14239170990891</v>
      </c>
    </row>
    <row r="14" spans="1:9" x14ac:dyDescent="0.3">
      <c r="A14">
        <v>9</v>
      </c>
      <c r="B14">
        <f t="shared" si="0"/>
        <v>0.9</v>
      </c>
      <c r="C14">
        <v>525.58000000000004</v>
      </c>
      <c r="D14">
        <v>15.51</v>
      </c>
      <c r="E14">
        <f t="shared" si="1"/>
        <v>2.7206388305720841</v>
      </c>
      <c r="H14">
        <v>4.2</v>
      </c>
      <c r="I14">
        <f t="shared" si="2"/>
        <v>630.09049610222394</v>
      </c>
    </row>
    <row r="15" spans="1:9" x14ac:dyDescent="0.3">
      <c r="A15">
        <v>9.5</v>
      </c>
      <c r="B15">
        <f t="shared" si="0"/>
        <v>0.95</v>
      </c>
      <c r="C15">
        <v>517.96</v>
      </c>
      <c r="D15">
        <v>15.51</v>
      </c>
      <c r="E15">
        <f t="shared" si="1"/>
        <v>2.7142962221969014</v>
      </c>
      <c r="H15">
        <v>4.3</v>
      </c>
      <c r="I15">
        <f t="shared" si="2"/>
        <v>627.08360075206895</v>
      </c>
    </row>
    <row r="16" spans="1:9" x14ac:dyDescent="0.3">
      <c r="A16">
        <v>10</v>
      </c>
      <c r="B16">
        <f t="shared" si="0"/>
        <v>1</v>
      </c>
      <c r="C16">
        <v>511.05</v>
      </c>
      <c r="D16">
        <v>15.52</v>
      </c>
      <c r="E16">
        <f t="shared" si="1"/>
        <v>2.7084633926235586</v>
      </c>
      <c r="H16">
        <v>4.4000000000000004</v>
      </c>
      <c r="I16">
        <f t="shared" si="2"/>
        <v>624.12102514022388</v>
      </c>
    </row>
    <row r="17" spans="1:9" x14ac:dyDescent="0.3">
      <c r="A17">
        <v>10.5</v>
      </c>
      <c r="B17">
        <f t="shared" si="0"/>
        <v>1.05</v>
      </c>
      <c r="C17">
        <v>504.13</v>
      </c>
      <c r="D17">
        <v>15.52</v>
      </c>
      <c r="E17">
        <f t="shared" si="1"/>
        <v>2.7025425424030116</v>
      </c>
      <c r="H17">
        <v>4.5</v>
      </c>
      <c r="I17">
        <f t="shared" si="2"/>
        <v>621.20209489312492</v>
      </c>
    </row>
    <row r="18" spans="1:9" x14ac:dyDescent="0.3">
      <c r="A18">
        <v>11</v>
      </c>
      <c r="B18">
        <f t="shared" si="0"/>
        <v>1.1000000000000001</v>
      </c>
      <c r="C18">
        <v>497.92</v>
      </c>
      <c r="D18">
        <v>15.53</v>
      </c>
      <c r="E18">
        <f t="shared" si="1"/>
        <v>2.6971595709735761</v>
      </c>
      <c r="H18">
        <v>4.5999999999999996</v>
      </c>
      <c r="I18">
        <f t="shared" si="2"/>
        <v>618.32614178286394</v>
      </c>
    </row>
    <row r="19" spans="1:9" x14ac:dyDescent="0.3">
      <c r="A19">
        <v>11.5</v>
      </c>
      <c r="B19">
        <f t="shared" si="0"/>
        <v>1.1499999999999999</v>
      </c>
      <c r="C19">
        <v>491.71</v>
      </c>
      <c r="D19">
        <v>15.53</v>
      </c>
      <c r="E19">
        <f t="shared" si="1"/>
        <v>2.6917090407096391</v>
      </c>
      <c r="H19">
        <v>4.7</v>
      </c>
      <c r="I19">
        <f t="shared" si="2"/>
        <v>615.49250372718893</v>
      </c>
    </row>
    <row r="20" spans="1:9" x14ac:dyDescent="0.3">
      <c r="A20">
        <v>12</v>
      </c>
      <c r="B20">
        <f t="shared" si="0"/>
        <v>1.2</v>
      </c>
      <c r="C20">
        <v>485.84</v>
      </c>
      <c r="D20">
        <v>15.54</v>
      </c>
      <c r="E20">
        <f t="shared" si="1"/>
        <v>2.6864932681145071</v>
      </c>
      <c r="H20">
        <v>4.8</v>
      </c>
      <c r="I20">
        <f t="shared" si="2"/>
        <v>612.70052478950402</v>
      </c>
    </row>
    <row r="21" spans="1:9" x14ac:dyDescent="0.3">
      <c r="A21">
        <v>12.5</v>
      </c>
      <c r="B21">
        <f t="shared" si="0"/>
        <v>1.25</v>
      </c>
      <c r="C21">
        <v>480.34</v>
      </c>
      <c r="D21">
        <v>15.54</v>
      </c>
      <c r="E21">
        <f t="shared" si="1"/>
        <v>2.6815487537344112</v>
      </c>
      <c r="H21">
        <v>4.9000000000000004</v>
      </c>
      <c r="I21">
        <f t="shared" si="2"/>
        <v>609.94955517886888</v>
      </c>
    </row>
    <row r="22" spans="1:9" x14ac:dyDescent="0.3">
      <c r="A22">
        <v>13</v>
      </c>
      <c r="B22">
        <f t="shared" si="0"/>
        <v>1.3</v>
      </c>
      <c r="C22">
        <v>475.19</v>
      </c>
      <c r="D22">
        <v>15.55</v>
      </c>
      <c r="E22">
        <f t="shared" si="1"/>
        <v>2.6768672926833315</v>
      </c>
      <c r="H22">
        <v>5</v>
      </c>
      <c r="I22">
        <f t="shared" si="2"/>
        <v>607.2389512499999</v>
      </c>
    </row>
    <row r="23" spans="1:9" x14ac:dyDescent="0.3">
      <c r="A23">
        <v>13.5</v>
      </c>
      <c r="B23">
        <f t="shared" si="0"/>
        <v>1.35</v>
      </c>
      <c r="C23">
        <v>470.04</v>
      </c>
      <c r="D23">
        <v>15.55</v>
      </c>
      <c r="E23">
        <f t="shared" si="1"/>
        <v>2.6721348175954907</v>
      </c>
      <c r="H23">
        <v>5.0999999999999996</v>
      </c>
      <c r="I23">
        <f t="shared" si="2"/>
        <v>604.56807550326891</v>
      </c>
    </row>
    <row r="24" spans="1:9" x14ac:dyDescent="0.3">
      <c r="A24">
        <v>14</v>
      </c>
      <c r="B24">
        <f t="shared" si="0"/>
        <v>1.4</v>
      </c>
      <c r="C24">
        <v>465.61</v>
      </c>
      <c r="D24">
        <v>15.56</v>
      </c>
      <c r="E24">
        <f t="shared" si="1"/>
        <v>2.6680222991722906</v>
      </c>
      <c r="H24">
        <v>5.2</v>
      </c>
      <c r="I24">
        <f t="shared" si="2"/>
        <v>601.93629658470388</v>
      </c>
    </row>
    <row r="25" spans="1:9" x14ac:dyDescent="0.3">
      <c r="A25">
        <v>14.5</v>
      </c>
      <c r="B25">
        <f t="shared" si="0"/>
        <v>1.45</v>
      </c>
      <c r="C25">
        <v>460.82</v>
      </c>
      <c r="D25">
        <v>15.56</v>
      </c>
      <c r="E25">
        <f t="shared" si="1"/>
        <v>2.6635313195929933</v>
      </c>
      <c r="H25">
        <v>5.3</v>
      </c>
      <c r="I25">
        <f t="shared" si="2"/>
        <v>599.34298928598889</v>
      </c>
    </row>
    <row r="26" spans="1:9" x14ac:dyDescent="0.3">
      <c r="A26">
        <v>15</v>
      </c>
      <c r="B26">
        <f t="shared" si="0"/>
        <v>1.5</v>
      </c>
      <c r="C26">
        <v>456.75</v>
      </c>
      <c r="D26">
        <v>15.56</v>
      </c>
      <c r="E26">
        <f t="shared" si="1"/>
        <v>2.6596785560245753</v>
      </c>
      <c r="H26">
        <v>5.4</v>
      </c>
      <c r="I26">
        <f t="shared" si="2"/>
        <v>596.78753454446394</v>
      </c>
    </row>
    <row r="27" spans="1:9" x14ac:dyDescent="0.3">
      <c r="A27">
        <v>15.5</v>
      </c>
      <c r="B27">
        <f t="shared" si="0"/>
        <v>1.55</v>
      </c>
      <c r="C27">
        <v>452.68</v>
      </c>
      <c r="D27">
        <v>15.57</v>
      </c>
      <c r="E27">
        <f t="shared" si="1"/>
        <v>2.6557913072155697</v>
      </c>
      <c r="H27">
        <v>5.5</v>
      </c>
      <c r="I27">
        <f t="shared" si="2"/>
        <v>594.26931944312491</v>
      </c>
    </row>
    <row r="28" spans="1:9" x14ac:dyDescent="0.3">
      <c r="A28">
        <v>16</v>
      </c>
      <c r="B28">
        <f t="shared" si="0"/>
        <v>1.6</v>
      </c>
      <c r="C28">
        <v>448.61</v>
      </c>
      <c r="D28">
        <v>15.57</v>
      </c>
      <c r="E28">
        <f t="shared" si="1"/>
        <v>2.6518689502465347</v>
      </c>
      <c r="H28">
        <v>5.6</v>
      </c>
      <c r="I28">
        <f t="shared" si="2"/>
        <v>591.78773721062385</v>
      </c>
    </row>
    <row r="29" spans="1:9" x14ac:dyDescent="0.3">
      <c r="A29">
        <v>16.5</v>
      </c>
      <c r="B29">
        <f t="shared" si="0"/>
        <v>1.65</v>
      </c>
      <c r="C29">
        <v>444.54</v>
      </c>
      <c r="D29">
        <v>15.57</v>
      </c>
      <c r="E29">
        <f t="shared" si="1"/>
        <v>2.647910845166054</v>
      </c>
      <c r="H29">
        <v>5.7</v>
      </c>
      <c r="I29">
        <f t="shared" si="2"/>
        <v>589.34218722126889</v>
      </c>
    </row>
    <row r="30" spans="1:9" x14ac:dyDescent="0.3">
      <c r="A30">
        <v>17</v>
      </c>
      <c r="B30">
        <f t="shared" si="0"/>
        <v>1.7</v>
      </c>
      <c r="C30">
        <v>441.19</v>
      </c>
      <c r="D30">
        <v>15.58</v>
      </c>
      <c r="E30">
        <f t="shared" si="1"/>
        <v>2.6446256601733271</v>
      </c>
      <c r="H30">
        <v>5.8</v>
      </c>
      <c r="I30">
        <f t="shared" si="2"/>
        <v>586.93207499502387</v>
      </c>
    </row>
    <row r="31" spans="1:9" x14ac:dyDescent="0.3">
      <c r="A31">
        <v>17.5</v>
      </c>
      <c r="B31">
        <f t="shared" si="0"/>
        <v>1.75</v>
      </c>
      <c r="C31">
        <v>437.47</v>
      </c>
      <c r="D31">
        <v>15.58</v>
      </c>
      <c r="E31">
        <f t="shared" si="1"/>
        <v>2.6409482761442056</v>
      </c>
      <c r="H31">
        <v>5.9</v>
      </c>
      <c r="I31">
        <f t="shared" si="2"/>
        <v>584.55681219750886</v>
      </c>
    </row>
    <row r="32" spans="1:9" x14ac:dyDescent="0.3">
      <c r="A32">
        <v>18</v>
      </c>
      <c r="B32">
        <f t="shared" si="0"/>
        <v>1.8</v>
      </c>
      <c r="C32">
        <v>434.12</v>
      </c>
      <c r="D32">
        <v>15.59</v>
      </c>
      <c r="E32">
        <f t="shared" si="1"/>
        <v>2.6376097943380192</v>
      </c>
      <c r="H32">
        <v>6</v>
      </c>
      <c r="I32">
        <f t="shared" si="2"/>
        <v>582.21581663999996</v>
      </c>
    </row>
    <row r="33" spans="1:9" x14ac:dyDescent="0.3">
      <c r="A33">
        <v>18.5</v>
      </c>
      <c r="B33">
        <f t="shared" si="0"/>
        <v>1.85</v>
      </c>
      <c r="C33">
        <v>430.77</v>
      </c>
      <c r="D33">
        <v>15.59</v>
      </c>
      <c r="E33">
        <f t="shared" si="1"/>
        <v>2.6342454502245318</v>
      </c>
      <c r="H33">
        <v>6.1</v>
      </c>
      <c r="I33">
        <f t="shared" si="2"/>
        <v>579.90851227942892</v>
      </c>
    </row>
    <row r="34" spans="1:9" x14ac:dyDescent="0.3">
      <c r="A34">
        <v>19</v>
      </c>
      <c r="B34">
        <f t="shared" si="0"/>
        <v>1.9</v>
      </c>
      <c r="C34">
        <v>427.79</v>
      </c>
      <c r="D34">
        <v>15.59</v>
      </c>
      <c r="E34">
        <f t="shared" si="1"/>
        <v>2.6312306283056848</v>
      </c>
      <c r="H34">
        <v>6.2</v>
      </c>
      <c r="I34">
        <f t="shared" si="2"/>
        <v>577.63432921838398</v>
      </c>
    </row>
    <row r="35" spans="1:9" x14ac:dyDescent="0.3">
      <c r="H35">
        <v>6.3</v>
      </c>
      <c r="I35">
        <f t="shared" si="2"/>
        <v>575.39270370510894</v>
      </c>
    </row>
    <row r="36" spans="1:9" x14ac:dyDescent="0.3">
      <c r="H36">
        <v>6.4</v>
      </c>
      <c r="I36">
        <f t="shared" si="2"/>
        <v>573.18307813350384</v>
      </c>
    </row>
    <row r="37" spans="1:9" x14ac:dyDescent="0.3">
      <c r="A37" t="s">
        <v>4</v>
      </c>
      <c r="C37">
        <v>491.71</v>
      </c>
      <c r="D37">
        <v>16.010000000000002</v>
      </c>
      <c r="E37">
        <f t="shared" si="1"/>
        <v>2.6917090407096391</v>
      </c>
      <c r="H37">
        <v>6.5</v>
      </c>
      <c r="I37">
        <f t="shared" si="2"/>
        <v>571.00490104312485</v>
      </c>
    </row>
    <row r="38" spans="1:9" x14ac:dyDescent="0.3">
      <c r="A38" t="s">
        <v>5</v>
      </c>
      <c r="C38">
        <v>491.71</v>
      </c>
      <c r="D38">
        <v>16.02</v>
      </c>
      <c r="E38">
        <f t="shared" si="1"/>
        <v>2.6917090407096391</v>
      </c>
      <c r="H38">
        <v>6.6</v>
      </c>
      <c r="I38">
        <f t="shared" si="2"/>
        <v>568.85762711918392</v>
      </c>
    </row>
    <row r="39" spans="1:9" x14ac:dyDescent="0.3">
      <c r="H39">
        <v>6.7</v>
      </c>
      <c r="I39">
        <f t="shared" si="2"/>
        <v>566.74071719254891</v>
      </c>
    </row>
    <row r="40" spans="1:9" x14ac:dyDescent="0.3">
      <c r="H40">
        <v>6.8</v>
      </c>
      <c r="I40">
        <f t="shared" si="2"/>
        <v>564.65363823974394</v>
      </c>
    </row>
    <row r="41" spans="1:9" x14ac:dyDescent="0.3">
      <c r="H41">
        <v>6.9</v>
      </c>
      <c r="I41">
        <f t="shared" si="2"/>
        <v>562.59586338294889</v>
      </c>
    </row>
    <row r="42" spans="1:9" x14ac:dyDescent="0.3">
      <c r="H42">
        <v>7</v>
      </c>
      <c r="I42">
        <f t="shared" si="2"/>
        <v>560.5668718899999</v>
      </c>
    </row>
    <row r="43" spans="1:9" x14ac:dyDescent="0.3">
      <c r="H43">
        <v>7.1</v>
      </c>
      <c r="I43">
        <f t="shared" si="2"/>
        <v>558.56614917438901</v>
      </c>
    </row>
    <row r="44" spans="1:9" x14ac:dyDescent="0.3">
      <c r="H44">
        <v>7.2</v>
      </c>
      <c r="I44">
        <f t="shared" si="2"/>
        <v>556.59318679526393</v>
      </c>
    </row>
    <row r="45" spans="1:9" x14ac:dyDescent="0.3">
      <c r="H45">
        <v>7.3</v>
      </c>
      <c r="I45">
        <f t="shared" si="2"/>
        <v>554.64748245742885</v>
      </c>
    </row>
    <row r="46" spans="1:9" x14ac:dyDescent="0.3">
      <c r="H46">
        <v>7.4</v>
      </c>
      <c r="I46">
        <f t="shared" si="2"/>
        <v>552.72854001134397</v>
      </c>
    </row>
    <row r="47" spans="1:9" x14ac:dyDescent="0.3">
      <c r="H47">
        <v>7.5</v>
      </c>
      <c r="I47">
        <f t="shared" si="2"/>
        <v>550.83586945312481</v>
      </c>
    </row>
    <row r="48" spans="1:9" x14ac:dyDescent="0.3">
      <c r="H48">
        <v>7.6</v>
      </c>
      <c r="I48">
        <f t="shared" si="2"/>
        <v>548.96898692454386</v>
      </c>
    </row>
    <row r="49" spans="8:9" x14ac:dyDescent="0.3">
      <c r="H49">
        <v>7.7</v>
      </c>
      <c r="I49">
        <f t="shared" si="2"/>
        <v>547.12741471302888</v>
      </c>
    </row>
    <row r="50" spans="8:9" x14ac:dyDescent="0.3">
      <c r="H50">
        <v>7.8</v>
      </c>
      <c r="I50">
        <f t="shared" si="2"/>
        <v>545.31068125166394</v>
      </c>
    </row>
    <row r="51" spans="8:9" x14ac:dyDescent="0.3">
      <c r="H51">
        <v>7.9</v>
      </c>
      <c r="I51">
        <f t="shared" si="2"/>
        <v>543.51832111918884</v>
      </c>
    </row>
    <row r="52" spans="8:9" x14ac:dyDescent="0.3">
      <c r="H52">
        <v>8</v>
      </c>
      <c r="I52">
        <f t="shared" si="2"/>
        <v>541.74987503999989</v>
      </c>
    </row>
    <row r="53" spans="8:9" x14ac:dyDescent="0.3">
      <c r="H53">
        <v>8.1</v>
      </c>
      <c r="I53">
        <f t="shared" si="2"/>
        <v>540.00488988414895</v>
      </c>
    </row>
    <row r="54" spans="8:9" x14ac:dyDescent="0.3">
      <c r="H54">
        <v>8.1999999999999993</v>
      </c>
      <c r="I54">
        <f t="shared" si="2"/>
        <v>538.28291866734389</v>
      </c>
    </row>
    <row r="55" spans="8:9" x14ac:dyDescent="0.3">
      <c r="H55">
        <v>8.3000000000000007</v>
      </c>
      <c r="I55">
        <f t="shared" si="2"/>
        <v>536.58352055094883</v>
      </c>
    </row>
    <row r="56" spans="8:9" x14ac:dyDescent="0.3">
      <c r="H56">
        <v>8.4</v>
      </c>
      <c r="I56">
        <f t="shared" si="2"/>
        <v>534.90626084198391</v>
      </c>
    </row>
    <row r="57" spans="8:9" x14ac:dyDescent="0.3">
      <c r="H57">
        <v>8.5000000000000107</v>
      </c>
      <c r="I57">
        <f t="shared" si="2"/>
        <v>533.2507109931247</v>
      </c>
    </row>
    <row r="58" spans="8:9" x14ac:dyDescent="0.3">
      <c r="H58">
        <v>8.6</v>
      </c>
      <c r="I58">
        <f t="shared" si="2"/>
        <v>531.61644860270394</v>
      </c>
    </row>
    <row r="59" spans="8:9" x14ac:dyDescent="0.3">
      <c r="H59">
        <v>8.6999999999999993</v>
      </c>
      <c r="I59">
        <f t="shared" si="2"/>
        <v>530.00305741470891</v>
      </c>
    </row>
    <row r="60" spans="8:9" x14ac:dyDescent="0.3">
      <c r="H60">
        <v>8.8000000000000096</v>
      </c>
      <c r="I60">
        <f t="shared" si="2"/>
        <v>528.41012731878368</v>
      </c>
    </row>
    <row r="61" spans="8:9" x14ac:dyDescent="0.3">
      <c r="H61">
        <v>8.9000000000000092</v>
      </c>
      <c r="I61">
        <f t="shared" si="2"/>
        <v>526.8372543502287</v>
      </c>
    </row>
    <row r="62" spans="8:9" x14ac:dyDescent="0.3">
      <c r="H62">
        <v>9.0000000000000107</v>
      </c>
      <c r="I62">
        <f t="shared" si="2"/>
        <v>525.28404068999976</v>
      </c>
    </row>
    <row r="63" spans="8:9" x14ac:dyDescent="0.3">
      <c r="H63">
        <v>9.1</v>
      </c>
      <c r="I63">
        <f t="shared" si="2"/>
        <v>523.75009466470885</v>
      </c>
    </row>
    <row r="64" spans="8:9" x14ac:dyDescent="0.3">
      <c r="H64">
        <v>9.2000000000000099</v>
      </c>
      <c r="I64">
        <f t="shared" si="2"/>
        <v>522.23503074662381</v>
      </c>
    </row>
    <row r="65" spans="8:9" x14ac:dyDescent="0.3">
      <c r="H65">
        <v>9.3000000000000096</v>
      </c>
      <c r="I65">
        <f t="shared" si="2"/>
        <v>520.73846955366878</v>
      </c>
    </row>
    <row r="66" spans="8:9" x14ac:dyDescent="0.3">
      <c r="H66">
        <v>9.4000000000000092</v>
      </c>
      <c r="I66">
        <f t="shared" si="2"/>
        <v>519.26003784942372</v>
      </c>
    </row>
    <row r="67" spans="8:9" x14ac:dyDescent="0.3">
      <c r="H67">
        <v>9.5000000000000107</v>
      </c>
      <c r="I67">
        <f t="shared" ref="I67:I130" si="3">25.6069*(H67/10)^4 - 156.9516*(H67/10)^3 + 395.6554*(H67/10)^2 - 559.80856*(H67/10) +806.2479</f>
        <v>517.79936854312473</v>
      </c>
    </row>
    <row r="68" spans="8:9" x14ac:dyDescent="0.3">
      <c r="H68">
        <v>9.6000000000000103</v>
      </c>
      <c r="I68">
        <f t="shared" si="3"/>
        <v>516.35610068966378</v>
      </c>
    </row>
    <row r="69" spans="8:9" x14ac:dyDescent="0.3">
      <c r="H69">
        <v>9.7000000000000099</v>
      </c>
      <c r="I69">
        <f t="shared" si="3"/>
        <v>514.92987948958864</v>
      </c>
    </row>
    <row r="70" spans="8:9" x14ac:dyDescent="0.3">
      <c r="H70">
        <v>9.8000000000000096</v>
      </c>
      <c r="I70">
        <f t="shared" si="3"/>
        <v>513.52035628910369</v>
      </c>
    </row>
    <row r="71" spans="8:9" x14ac:dyDescent="0.3">
      <c r="H71">
        <v>9.9000000000000092</v>
      </c>
      <c r="I71">
        <f t="shared" si="3"/>
        <v>512.12718858006883</v>
      </c>
    </row>
    <row r="72" spans="8:9" x14ac:dyDescent="0.3">
      <c r="H72">
        <v>10</v>
      </c>
      <c r="I72">
        <f t="shared" si="3"/>
        <v>510.7500399999999</v>
      </c>
    </row>
    <row r="73" spans="8:9" x14ac:dyDescent="0.3">
      <c r="H73">
        <v>10.1</v>
      </c>
      <c r="I73">
        <f t="shared" si="3"/>
        <v>509.38858033206884</v>
      </c>
    </row>
    <row r="74" spans="8:9" x14ac:dyDescent="0.3">
      <c r="H74">
        <v>10.199999999999999</v>
      </c>
      <c r="I74">
        <f t="shared" si="3"/>
        <v>508.04248550510385</v>
      </c>
    </row>
    <row r="75" spans="8:9" x14ac:dyDescent="0.3">
      <c r="H75">
        <v>10.3</v>
      </c>
      <c r="I75">
        <f t="shared" si="3"/>
        <v>506.71143759358893</v>
      </c>
    </row>
    <row r="76" spans="8:9" x14ac:dyDescent="0.3">
      <c r="H76">
        <v>10.4</v>
      </c>
      <c r="I76">
        <f t="shared" si="3"/>
        <v>505.39512481766383</v>
      </c>
    </row>
    <row r="77" spans="8:9" x14ac:dyDescent="0.3">
      <c r="H77">
        <v>10.5</v>
      </c>
      <c r="I77">
        <f t="shared" si="3"/>
        <v>504.0932415431248</v>
      </c>
    </row>
    <row r="78" spans="8:9" x14ac:dyDescent="0.3">
      <c r="H78">
        <v>10.6</v>
      </c>
      <c r="I78">
        <f t="shared" si="3"/>
        <v>502.80548828142389</v>
      </c>
    </row>
    <row r="79" spans="8:9" x14ac:dyDescent="0.3">
      <c r="H79">
        <v>10.7</v>
      </c>
      <c r="I79">
        <f t="shared" si="3"/>
        <v>501.53157168966885</v>
      </c>
    </row>
    <row r="80" spans="8:9" x14ac:dyDescent="0.3">
      <c r="H80">
        <v>10.8</v>
      </c>
      <c r="I80">
        <f t="shared" si="3"/>
        <v>500.27120457062387</v>
      </c>
    </row>
    <row r="81" spans="8:9" x14ac:dyDescent="0.3">
      <c r="H81">
        <v>10.9</v>
      </c>
      <c r="I81">
        <f t="shared" si="3"/>
        <v>499.0241058727089</v>
      </c>
    </row>
    <row r="82" spans="8:9" x14ac:dyDescent="0.3">
      <c r="H82">
        <v>11</v>
      </c>
      <c r="I82">
        <f t="shared" si="3"/>
        <v>497.79000068999989</v>
      </c>
    </row>
    <row r="83" spans="8:9" x14ac:dyDescent="0.3">
      <c r="H83">
        <v>11.1</v>
      </c>
      <c r="I83">
        <f t="shared" si="3"/>
        <v>496.56862026222893</v>
      </c>
    </row>
    <row r="84" spans="8:9" x14ac:dyDescent="0.3">
      <c r="H84">
        <v>11.2</v>
      </c>
      <c r="I84">
        <f t="shared" si="3"/>
        <v>495.35970197478377</v>
      </c>
    </row>
    <row r="85" spans="8:9" x14ac:dyDescent="0.3">
      <c r="H85">
        <v>11.3</v>
      </c>
      <c r="I85">
        <f t="shared" si="3"/>
        <v>494.16298935870884</v>
      </c>
    </row>
    <row r="86" spans="8:9" x14ac:dyDescent="0.3">
      <c r="H86">
        <v>11.4</v>
      </c>
      <c r="I86">
        <f t="shared" si="3"/>
        <v>492.97823209070384</v>
      </c>
    </row>
    <row r="87" spans="8:9" x14ac:dyDescent="0.3">
      <c r="H87">
        <v>11.5</v>
      </c>
      <c r="I87">
        <f t="shared" si="3"/>
        <v>491.80518599312484</v>
      </c>
    </row>
    <row r="88" spans="8:9" x14ac:dyDescent="0.3">
      <c r="H88">
        <v>11.6</v>
      </c>
      <c r="I88">
        <f t="shared" si="3"/>
        <v>490.64361303398391</v>
      </c>
    </row>
    <row r="89" spans="8:9" x14ac:dyDescent="0.3">
      <c r="H89">
        <v>11.7</v>
      </c>
      <c r="I89">
        <f t="shared" si="3"/>
        <v>489.49328132694882</v>
      </c>
    </row>
    <row r="90" spans="8:9" x14ac:dyDescent="0.3">
      <c r="H90">
        <v>11.8</v>
      </c>
      <c r="I90">
        <f t="shared" si="3"/>
        <v>488.35396513134378</v>
      </c>
    </row>
    <row r="91" spans="8:9" x14ac:dyDescent="0.3">
      <c r="H91">
        <v>11.9</v>
      </c>
      <c r="I91">
        <f t="shared" si="3"/>
        <v>487.22544485214888</v>
      </c>
    </row>
    <row r="92" spans="8:9" x14ac:dyDescent="0.3">
      <c r="H92">
        <v>12</v>
      </c>
      <c r="I92">
        <f t="shared" si="3"/>
        <v>486.10750703999975</v>
      </c>
    </row>
    <row r="93" spans="8:9" x14ac:dyDescent="0.3">
      <c r="H93">
        <v>12.1</v>
      </c>
      <c r="I93">
        <f t="shared" si="3"/>
        <v>484.99994439118876</v>
      </c>
    </row>
    <row r="94" spans="8:9" x14ac:dyDescent="0.3">
      <c r="H94">
        <v>12.2</v>
      </c>
      <c r="I94">
        <f t="shared" si="3"/>
        <v>483.90255574766383</v>
      </c>
    </row>
    <row r="95" spans="8:9" x14ac:dyDescent="0.3">
      <c r="H95">
        <v>12.3</v>
      </c>
      <c r="I95">
        <f t="shared" si="3"/>
        <v>482.81514609702879</v>
      </c>
    </row>
    <row r="96" spans="8:9" x14ac:dyDescent="0.3">
      <c r="H96">
        <v>12.4</v>
      </c>
      <c r="I96">
        <f t="shared" si="3"/>
        <v>481.73752657254386</v>
      </c>
    </row>
    <row r="97" spans="8:9" x14ac:dyDescent="0.3">
      <c r="H97">
        <v>12.5</v>
      </c>
      <c r="I97">
        <f t="shared" si="3"/>
        <v>480.66951445312492</v>
      </c>
    </row>
    <row r="98" spans="8:9" x14ac:dyDescent="0.3">
      <c r="H98">
        <v>12.6</v>
      </c>
      <c r="I98">
        <f t="shared" si="3"/>
        <v>479.61093316334393</v>
      </c>
    </row>
    <row r="99" spans="8:9" x14ac:dyDescent="0.3">
      <c r="H99">
        <v>12.7</v>
      </c>
      <c r="I99">
        <f t="shared" si="3"/>
        <v>478.56161227342875</v>
      </c>
    </row>
    <row r="100" spans="8:9" x14ac:dyDescent="0.3">
      <c r="H100">
        <v>12.8</v>
      </c>
      <c r="I100">
        <f t="shared" si="3"/>
        <v>477.52138749926377</v>
      </c>
    </row>
    <row r="101" spans="8:9" x14ac:dyDescent="0.3">
      <c r="H101">
        <v>12.9</v>
      </c>
      <c r="I101">
        <f t="shared" si="3"/>
        <v>476.49010070238887</v>
      </c>
    </row>
    <row r="102" spans="8:9" x14ac:dyDescent="0.3">
      <c r="H102">
        <v>13</v>
      </c>
      <c r="I102">
        <f t="shared" si="3"/>
        <v>475.4675998899998</v>
      </c>
    </row>
    <row r="103" spans="8:9" x14ac:dyDescent="0.3">
      <c r="H103">
        <v>13.1</v>
      </c>
      <c r="I103">
        <f t="shared" si="3"/>
        <v>474.45373921494883</v>
      </c>
    </row>
    <row r="104" spans="8:9" x14ac:dyDescent="0.3">
      <c r="H104">
        <v>13.2</v>
      </c>
      <c r="I104">
        <f t="shared" si="3"/>
        <v>473.44837897574394</v>
      </c>
    </row>
    <row r="105" spans="8:9" x14ac:dyDescent="0.3">
      <c r="H105">
        <v>13.3</v>
      </c>
      <c r="I105">
        <f t="shared" si="3"/>
        <v>472.45138561654886</v>
      </c>
    </row>
    <row r="106" spans="8:9" x14ac:dyDescent="0.3">
      <c r="H106">
        <v>13.4</v>
      </c>
      <c r="I106">
        <f t="shared" si="3"/>
        <v>471.46263172718398</v>
      </c>
    </row>
    <row r="107" spans="8:9" x14ac:dyDescent="0.3">
      <c r="H107">
        <v>13.5</v>
      </c>
      <c r="I107">
        <f t="shared" si="3"/>
        <v>470.48199604312475</v>
      </c>
    </row>
    <row r="108" spans="8:9" x14ac:dyDescent="0.3">
      <c r="H108">
        <v>13.6</v>
      </c>
      <c r="I108">
        <f t="shared" si="3"/>
        <v>469.50936344550377</v>
      </c>
    </row>
    <row r="109" spans="8:9" x14ac:dyDescent="0.3">
      <c r="H109">
        <v>13.7</v>
      </c>
      <c r="I109">
        <f t="shared" si="3"/>
        <v>468.54462496110887</v>
      </c>
    </row>
    <row r="110" spans="8:9" x14ac:dyDescent="0.3">
      <c r="H110">
        <v>13.8</v>
      </c>
      <c r="I110">
        <f t="shared" si="3"/>
        <v>467.58767776238381</v>
      </c>
    </row>
    <row r="111" spans="8:9" x14ac:dyDescent="0.3">
      <c r="H111">
        <v>13.9</v>
      </c>
      <c r="I111">
        <f t="shared" si="3"/>
        <v>466.63842516742881</v>
      </c>
    </row>
    <row r="112" spans="8:9" x14ac:dyDescent="0.3">
      <c r="H112">
        <v>14</v>
      </c>
      <c r="I112">
        <f t="shared" si="3"/>
        <v>465.69677663999994</v>
      </c>
    </row>
    <row r="113" spans="8:9" x14ac:dyDescent="0.3">
      <c r="H113">
        <v>14.1</v>
      </c>
      <c r="I113">
        <f t="shared" si="3"/>
        <v>464.76264778950883</v>
      </c>
    </row>
    <row r="114" spans="8:9" x14ac:dyDescent="0.3">
      <c r="H114">
        <v>14.2</v>
      </c>
      <c r="I114">
        <f t="shared" si="3"/>
        <v>463.83596037102393</v>
      </c>
    </row>
    <row r="115" spans="8:9" x14ac:dyDescent="0.3">
      <c r="H115">
        <v>14.3</v>
      </c>
      <c r="I115">
        <f t="shared" si="3"/>
        <v>462.91664228526872</v>
      </c>
    </row>
    <row r="116" spans="8:9" x14ac:dyDescent="0.3">
      <c r="H116">
        <v>14.4</v>
      </c>
      <c r="I116">
        <f t="shared" si="3"/>
        <v>462.00462757862385</v>
      </c>
    </row>
    <row r="117" spans="8:9" x14ac:dyDescent="0.3">
      <c r="H117">
        <v>14.5</v>
      </c>
      <c r="I117">
        <f t="shared" si="3"/>
        <v>461.09985644312485</v>
      </c>
    </row>
    <row r="118" spans="8:9" x14ac:dyDescent="0.3">
      <c r="H118">
        <v>14.6</v>
      </c>
      <c r="I118">
        <f t="shared" si="3"/>
        <v>460.2022752164637</v>
      </c>
    </row>
    <row r="119" spans="8:9" x14ac:dyDescent="0.3">
      <c r="H119">
        <v>14.7</v>
      </c>
      <c r="I119">
        <f t="shared" si="3"/>
        <v>459.31183638198883</v>
      </c>
    </row>
    <row r="120" spans="8:9" x14ac:dyDescent="0.3">
      <c r="H120">
        <v>14.8</v>
      </c>
      <c r="I120">
        <f t="shared" si="3"/>
        <v>458.42849856870384</v>
      </c>
    </row>
    <row r="121" spans="8:9" x14ac:dyDescent="0.3">
      <c r="H121">
        <v>14.9</v>
      </c>
      <c r="I121">
        <f t="shared" si="3"/>
        <v>457.55222655126886</v>
      </c>
    </row>
    <row r="122" spans="8:9" x14ac:dyDescent="0.3">
      <c r="H122">
        <v>15</v>
      </c>
      <c r="I122">
        <f t="shared" si="3"/>
        <v>456.68299124999976</v>
      </c>
    </row>
    <row r="123" spans="8:9" x14ac:dyDescent="0.3">
      <c r="H123">
        <v>15.1</v>
      </c>
      <c r="I123">
        <f t="shared" si="3"/>
        <v>455.82076973086873</v>
      </c>
    </row>
    <row r="124" spans="8:9" x14ac:dyDescent="0.3">
      <c r="H124">
        <v>15.2</v>
      </c>
      <c r="I124">
        <f t="shared" si="3"/>
        <v>454.9655452055037</v>
      </c>
    </row>
    <row r="125" spans="8:9" x14ac:dyDescent="0.3">
      <c r="H125">
        <v>15.3</v>
      </c>
      <c r="I125">
        <f t="shared" si="3"/>
        <v>454.11730703118872</v>
      </c>
    </row>
    <row r="126" spans="8:9" x14ac:dyDescent="0.3">
      <c r="H126">
        <v>15.4</v>
      </c>
      <c r="I126">
        <f t="shared" si="3"/>
        <v>453.27605071086373</v>
      </c>
    </row>
    <row r="127" spans="8:9" x14ac:dyDescent="0.3">
      <c r="H127">
        <v>15.5</v>
      </c>
      <c r="I127">
        <f t="shared" si="3"/>
        <v>452.44177789312482</v>
      </c>
    </row>
    <row r="128" spans="8:9" x14ac:dyDescent="0.3">
      <c r="H128">
        <v>15.6</v>
      </c>
      <c r="I128">
        <f t="shared" si="3"/>
        <v>451.61449637222381</v>
      </c>
    </row>
    <row r="129" spans="8:9" x14ac:dyDescent="0.3">
      <c r="H129">
        <v>15.7</v>
      </c>
      <c r="I129">
        <f t="shared" si="3"/>
        <v>450.79422008806887</v>
      </c>
    </row>
    <row r="130" spans="8:9" x14ac:dyDescent="0.3">
      <c r="H130">
        <v>15.8</v>
      </c>
      <c r="I130">
        <f t="shared" si="3"/>
        <v>449.98096912622384</v>
      </c>
    </row>
    <row r="131" spans="8:9" x14ac:dyDescent="0.3">
      <c r="H131">
        <v>15.9</v>
      </c>
      <c r="I131">
        <f t="shared" ref="I131:I162" si="4">25.6069*(H131/10)^4 - 156.9516*(H131/10)^3 + 395.6554*(H131/10)^2 - 559.80856*(H131/10) +806.2479</f>
        <v>449.1747697179087</v>
      </c>
    </row>
    <row r="132" spans="8:9" x14ac:dyDescent="0.3">
      <c r="H132">
        <v>16</v>
      </c>
      <c r="I132">
        <f t="shared" si="4"/>
        <v>448.37565423999979</v>
      </c>
    </row>
    <row r="133" spans="8:9" x14ac:dyDescent="0.3">
      <c r="H133">
        <v>16.100000000000001</v>
      </c>
      <c r="I133">
        <f t="shared" si="4"/>
        <v>447.58366121502866</v>
      </c>
    </row>
    <row r="134" spans="8:9" x14ac:dyDescent="0.3">
      <c r="H134">
        <v>16.2</v>
      </c>
      <c r="I134">
        <f t="shared" si="4"/>
        <v>446.79883531118401</v>
      </c>
    </row>
    <row r="135" spans="8:9" x14ac:dyDescent="0.3">
      <c r="H135">
        <v>16.3</v>
      </c>
      <c r="I135">
        <f t="shared" si="4"/>
        <v>446.02122734230875</v>
      </c>
    </row>
    <row r="136" spans="8:9" x14ac:dyDescent="0.3">
      <c r="H136">
        <v>16.399999999999999</v>
      </c>
      <c r="I136">
        <f t="shared" si="4"/>
        <v>445.25089426790385</v>
      </c>
    </row>
    <row r="137" spans="8:9" x14ac:dyDescent="0.3">
      <c r="H137">
        <v>16.5</v>
      </c>
      <c r="I137">
        <f t="shared" si="4"/>
        <v>444.48789919312492</v>
      </c>
    </row>
    <row r="138" spans="8:9" x14ac:dyDescent="0.3">
      <c r="H138">
        <v>16.600000000000001</v>
      </c>
      <c r="I138">
        <f t="shared" si="4"/>
        <v>443.7323113687836</v>
      </c>
    </row>
    <row r="139" spans="8:9" x14ac:dyDescent="0.3">
      <c r="H139">
        <v>16.7</v>
      </c>
      <c r="I139">
        <f t="shared" si="4"/>
        <v>442.98420619134879</v>
      </c>
    </row>
    <row r="140" spans="8:9" x14ac:dyDescent="0.3">
      <c r="H140">
        <v>16.8</v>
      </c>
      <c r="I140">
        <f t="shared" si="4"/>
        <v>442.24366520294382</v>
      </c>
    </row>
    <row r="141" spans="8:9" x14ac:dyDescent="0.3">
      <c r="H141">
        <v>16.899999999999999</v>
      </c>
      <c r="I141">
        <f t="shared" si="4"/>
        <v>441.5107760913487</v>
      </c>
    </row>
    <row r="142" spans="8:9" x14ac:dyDescent="0.3">
      <c r="H142">
        <v>17</v>
      </c>
      <c r="I142">
        <f t="shared" si="4"/>
        <v>440.78563268999983</v>
      </c>
    </row>
    <row r="143" spans="8:9" x14ac:dyDescent="0.3">
      <c r="H143">
        <v>17.100000000000001</v>
      </c>
      <c r="I143">
        <f t="shared" si="4"/>
        <v>440.0683349779888</v>
      </c>
    </row>
    <row r="144" spans="8:9" x14ac:dyDescent="0.3">
      <c r="H144">
        <v>17.2</v>
      </c>
      <c r="I144">
        <f t="shared" si="4"/>
        <v>439.35898908006379</v>
      </c>
    </row>
    <row r="145" spans="8:9" x14ac:dyDescent="0.3">
      <c r="H145">
        <v>17.3</v>
      </c>
      <c r="I145">
        <f t="shared" si="4"/>
        <v>438.6577072666289</v>
      </c>
    </row>
    <row r="146" spans="8:9" x14ac:dyDescent="0.3">
      <c r="H146">
        <v>17.399999999999999</v>
      </c>
      <c r="I146">
        <f t="shared" si="4"/>
        <v>437.96460795374378</v>
      </c>
    </row>
    <row r="147" spans="8:9" x14ac:dyDescent="0.3">
      <c r="H147">
        <v>17.5</v>
      </c>
      <c r="I147">
        <f t="shared" si="4"/>
        <v>437.27981570312477</v>
      </c>
    </row>
    <row r="148" spans="8:9" x14ac:dyDescent="0.3">
      <c r="H148">
        <v>17.600000000000001</v>
      </c>
      <c r="I148">
        <f t="shared" si="4"/>
        <v>436.60346122214366</v>
      </c>
    </row>
    <row r="149" spans="8:9" x14ac:dyDescent="0.3">
      <c r="H149">
        <v>17.7</v>
      </c>
      <c r="I149">
        <f t="shared" si="4"/>
        <v>435.93568136382873</v>
      </c>
    </row>
    <row r="150" spans="8:9" x14ac:dyDescent="0.3">
      <c r="H150">
        <v>17.8</v>
      </c>
      <c r="I150">
        <f t="shared" si="4"/>
        <v>435.27661912686369</v>
      </c>
    </row>
    <row r="151" spans="8:9" x14ac:dyDescent="0.3">
      <c r="H151">
        <v>17.899999999999999</v>
      </c>
      <c r="I151">
        <f t="shared" si="4"/>
        <v>434.62642365558884</v>
      </c>
    </row>
    <row r="152" spans="8:9" x14ac:dyDescent="0.3">
      <c r="H152">
        <v>18</v>
      </c>
      <c r="I152">
        <f t="shared" si="4"/>
        <v>433.98525023999991</v>
      </c>
    </row>
    <row r="153" spans="8:9" x14ac:dyDescent="0.3">
      <c r="H153">
        <v>18.100000000000001</v>
      </c>
      <c r="I153">
        <f t="shared" si="4"/>
        <v>433.3532603157488</v>
      </c>
    </row>
    <row r="154" spans="8:9" x14ac:dyDescent="0.3">
      <c r="H154">
        <v>18.2</v>
      </c>
      <c r="I154">
        <f t="shared" si="4"/>
        <v>432.73062146414361</v>
      </c>
    </row>
    <row r="155" spans="8:9" x14ac:dyDescent="0.3">
      <c r="H155">
        <v>18.3</v>
      </c>
      <c r="I155">
        <f t="shared" si="4"/>
        <v>432.11750741214871</v>
      </c>
    </row>
    <row r="156" spans="8:9" x14ac:dyDescent="0.3">
      <c r="H156">
        <v>18.399999999999999</v>
      </c>
      <c r="I156">
        <f t="shared" si="4"/>
        <v>431.51409803238369</v>
      </c>
    </row>
    <row r="157" spans="8:9" x14ac:dyDescent="0.3">
      <c r="H157">
        <v>18.5</v>
      </c>
      <c r="I157">
        <f t="shared" si="4"/>
        <v>430.92057934312481</v>
      </c>
    </row>
    <row r="158" spans="8:9" x14ac:dyDescent="0.3">
      <c r="H158">
        <v>18.600000000000001</v>
      </c>
      <c r="I158">
        <f t="shared" si="4"/>
        <v>430.33714350830371</v>
      </c>
    </row>
    <row r="159" spans="8:9" x14ac:dyDescent="0.3">
      <c r="H159">
        <v>18.7</v>
      </c>
      <c r="I159">
        <f t="shared" si="4"/>
        <v>429.76398883750869</v>
      </c>
    </row>
    <row r="160" spans="8:9" x14ac:dyDescent="0.3">
      <c r="H160">
        <v>18.8</v>
      </c>
      <c r="I160">
        <f t="shared" si="4"/>
        <v>429.20131978598374</v>
      </c>
    </row>
    <row r="161" spans="8:9" x14ac:dyDescent="0.3">
      <c r="H161">
        <v>18.899999999999999</v>
      </c>
      <c r="I161">
        <f t="shared" si="4"/>
        <v>428.64934695462864</v>
      </c>
    </row>
    <row r="162" spans="8:9" x14ac:dyDescent="0.3">
      <c r="H162">
        <v>19</v>
      </c>
      <c r="I162">
        <f t="shared" si="4"/>
        <v>428.10828708999986</v>
      </c>
    </row>
  </sheetData>
  <phoneticPr fontId="1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2C2F-16EE-4A93-B98B-8EF296B0B355}">
  <dimension ref="A1:H37"/>
  <sheetViews>
    <sheetView workbookViewId="0">
      <selection activeCell="G15" sqref="G15"/>
    </sheetView>
  </sheetViews>
  <sheetFormatPr defaultRowHeight="14.4" x14ac:dyDescent="0.3"/>
  <cols>
    <col min="2" max="2" width="15.33203125" customWidth="1"/>
    <col min="3" max="3" width="14.6640625" customWidth="1"/>
    <col min="4" max="4" width="15.33203125" customWidth="1"/>
    <col min="7" max="7" width="18.77734375" customWidth="1"/>
  </cols>
  <sheetData>
    <row r="1" spans="1:8" x14ac:dyDescent="0.3">
      <c r="A1" t="s">
        <v>2</v>
      </c>
      <c r="B1" t="s">
        <v>10</v>
      </c>
      <c r="C1" t="s">
        <v>14</v>
      </c>
      <c r="D1" t="s">
        <v>15</v>
      </c>
      <c r="G1" t="s">
        <v>3</v>
      </c>
      <c r="H1" t="s">
        <v>21</v>
      </c>
    </row>
    <row r="2" spans="1:8" x14ac:dyDescent="0.3">
      <c r="A2">
        <v>3</v>
      </c>
      <c r="B2">
        <v>671.65</v>
      </c>
      <c r="C2">
        <v>684.71</v>
      </c>
      <c r="D2">
        <v>660.26</v>
      </c>
      <c r="G2">
        <v>670.27</v>
      </c>
      <c r="H2">
        <f>(B2-G2)</f>
        <v>1.3799999999999955</v>
      </c>
    </row>
    <row r="3" spans="1:8" x14ac:dyDescent="0.3">
      <c r="A3">
        <v>3.5</v>
      </c>
      <c r="B3">
        <v>653.66999999999996</v>
      </c>
      <c r="G3">
        <v>652.63</v>
      </c>
      <c r="H3">
        <f>(B3-G3)</f>
        <v>1.0399999999999636</v>
      </c>
    </row>
    <row r="4" spans="1:8" x14ac:dyDescent="0.3">
      <c r="A4">
        <v>4</v>
      </c>
      <c r="B4">
        <v>636.97</v>
      </c>
      <c r="G4">
        <v>636.27</v>
      </c>
      <c r="H4">
        <f t="shared" ref="H4:H34" si="0">(B4-G4)</f>
        <v>0.70000000000004547</v>
      </c>
    </row>
    <row r="5" spans="1:8" x14ac:dyDescent="0.3">
      <c r="A5">
        <v>4.5</v>
      </c>
      <c r="B5">
        <v>621.91999999999996</v>
      </c>
      <c r="G5">
        <v>620.51</v>
      </c>
      <c r="H5">
        <f t="shared" si="0"/>
        <v>1.4099999999999682</v>
      </c>
    </row>
    <row r="6" spans="1:8" x14ac:dyDescent="0.3">
      <c r="A6">
        <v>5</v>
      </c>
      <c r="B6">
        <v>608.54999999999995</v>
      </c>
      <c r="G6">
        <v>606.78</v>
      </c>
      <c r="H6">
        <f t="shared" si="0"/>
        <v>1.7699999999999818</v>
      </c>
    </row>
    <row r="7" spans="1:8" x14ac:dyDescent="0.3">
      <c r="A7">
        <v>5.5</v>
      </c>
      <c r="B7">
        <v>595.11</v>
      </c>
      <c r="G7">
        <v>594.04999999999995</v>
      </c>
      <c r="H7">
        <f t="shared" si="0"/>
        <v>1.0600000000000591</v>
      </c>
    </row>
    <row r="8" spans="1:8" x14ac:dyDescent="0.3">
      <c r="A8">
        <v>6</v>
      </c>
      <c r="B8">
        <v>583.04</v>
      </c>
      <c r="G8">
        <v>582.33000000000004</v>
      </c>
      <c r="H8">
        <f t="shared" si="0"/>
        <v>0.70999999999992269</v>
      </c>
    </row>
    <row r="9" spans="1:8" x14ac:dyDescent="0.3">
      <c r="A9">
        <v>6.5</v>
      </c>
      <c r="B9">
        <v>571.99</v>
      </c>
      <c r="G9">
        <v>570.91999999999996</v>
      </c>
      <c r="H9">
        <f t="shared" si="0"/>
        <v>1.07000000000005</v>
      </c>
    </row>
    <row r="10" spans="1:8" x14ac:dyDescent="0.3">
      <c r="A10">
        <v>7</v>
      </c>
      <c r="B10">
        <v>561.62</v>
      </c>
      <c r="G10">
        <v>560.54</v>
      </c>
      <c r="H10">
        <f t="shared" si="0"/>
        <v>1.0800000000000409</v>
      </c>
    </row>
    <row r="11" spans="1:8" x14ac:dyDescent="0.3">
      <c r="A11">
        <v>7.5</v>
      </c>
      <c r="B11">
        <v>551.92999999999995</v>
      </c>
      <c r="G11">
        <v>551.21</v>
      </c>
      <c r="H11">
        <f t="shared" si="0"/>
        <v>0.7199999999999136</v>
      </c>
    </row>
    <row r="12" spans="1:8" x14ac:dyDescent="0.3">
      <c r="A12">
        <v>8</v>
      </c>
      <c r="B12">
        <v>542.92999999999995</v>
      </c>
      <c r="C12">
        <v>549.41</v>
      </c>
      <c r="D12">
        <v>536.44000000000005</v>
      </c>
      <c r="G12">
        <v>542.21</v>
      </c>
      <c r="H12">
        <f t="shared" si="0"/>
        <v>0.7199999999999136</v>
      </c>
    </row>
    <row r="13" spans="1:8" x14ac:dyDescent="0.3">
      <c r="A13">
        <v>8.5</v>
      </c>
      <c r="B13">
        <v>534.63</v>
      </c>
      <c r="G13">
        <v>533.17999999999995</v>
      </c>
      <c r="H13">
        <f t="shared" si="0"/>
        <v>1.4500000000000455</v>
      </c>
    </row>
    <row r="14" spans="1:8" x14ac:dyDescent="0.3">
      <c r="A14">
        <v>9</v>
      </c>
      <c r="B14">
        <v>526.30999999999995</v>
      </c>
      <c r="G14">
        <v>525.58000000000004</v>
      </c>
      <c r="H14">
        <f t="shared" si="0"/>
        <v>0.7299999999999045</v>
      </c>
    </row>
    <row r="15" spans="1:8" x14ac:dyDescent="0.3">
      <c r="A15">
        <v>9.5</v>
      </c>
      <c r="B15">
        <v>518.69000000000005</v>
      </c>
      <c r="G15">
        <v>517.96</v>
      </c>
      <c r="H15">
        <f t="shared" si="0"/>
        <v>0.73000000000001819</v>
      </c>
    </row>
    <row r="16" spans="1:8" x14ac:dyDescent="0.3">
      <c r="A16">
        <v>10</v>
      </c>
      <c r="B16">
        <v>511.42</v>
      </c>
      <c r="G16">
        <v>511.05</v>
      </c>
      <c r="H16">
        <f t="shared" si="0"/>
        <v>0.37000000000000455</v>
      </c>
    </row>
    <row r="17" spans="1:8" x14ac:dyDescent="0.3">
      <c r="A17">
        <v>10.5</v>
      </c>
      <c r="B17">
        <v>504.86</v>
      </c>
      <c r="G17">
        <v>504.13</v>
      </c>
      <c r="H17">
        <f t="shared" si="0"/>
        <v>0.73000000000001819</v>
      </c>
    </row>
    <row r="18" spans="1:8" x14ac:dyDescent="0.3">
      <c r="A18">
        <v>11</v>
      </c>
      <c r="B18">
        <v>498.29</v>
      </c>
      <c r="G18">
        <v>497.92</v>
      </c>
      <c r="H18">
        <f t="shared" si="0"/>
        <v>0.37000000000000455</v>
      </c>
    </row>
    <row r="19" spans="1:8" x14ac:dyDescent="0.3">
      <c r="A19">
        <v>11.5</v>
      </c>
      <c r="B19">
        <v>492.07</v>
      </c>
      <c r="G19">
        <v>491.71</v>
      </c>
      <c r="H19">
        <f t="shared" si="0"/>
        <v>0.36000000000001364</v>
      </c>
    </row>
    <row r="20" spans="1:8" x14ac:dyDescent="0.3">
      <c r="A20">
        <v>12</v>
      </c>
      <c r="B20">
        <v>486.58</v>
      </c>
      <c r="G20">
        <v>485.84</v>
      </c>
      <c r="H20">
        <f t="shared" si="0"/>
        <v>0.74000000000000909</v>
      </c>
    </row>
    <row r="21" spans="1:8" x14ac:dyDescent="0.3">
      <c r="A21">
        <v>12.5</v>
      </c>
      <c r="B21">
        <v>481.07</v>
      </c>
      <c r="G21">
        <v>480.34</v>
      </c>
      <c r="H21">
        <f t="shared" si="0"/>
        <v>0.73000000000001819</v>
      </c>
    </row>
    <row r="22" spans="1:8" x14ac:dyDescent="0.3">
      <c r="A22">
        <v>13</v>
      </c>
      <c r="B22">
        <v>475.56</v>
      </c>
      <c r="C22">
        <v>479.97</v>
      </c>
      <c r="D22">
        <v>471.51</v>
      </c>
      <c r="G22">
        <v>475.19</v>
      </c>
      <c r="H22">
        <f t="shared" si="0"/>
        <v>0.37000000000000455</v>
      </c>
    </row>
    <row r="23" spans="1:8" x14ac:dyDescent="0.3">
      <c r="A23">
        <v>13.5</v>
      </c>
      <c r="B23">
        <v>470.77</v>
      </c>
      <c r="G23">
        <v>470.04</v>
      </c>
      <c r="H23">
        <f t="shared" si="0"/>
        <v>0.72999999999996135</v>
      </c>
    </row>
    <row r="24" spans="1:8" x14ac:dyDescent="0.3">
      <c r="A24">
        <v>14</v>
      </c>
      <c r="B24">
        <v>465.61</v>
      </c>
      <c r="G24">
        <v>465.61</v>
      </c>
      <c r="H24">
        <f t="shared" si="0"/>
        <v>0</v>
      </c>
    </row>
    <row r="25" spans="1:8" x14ac:dyDescent="0.3">
      <c r="A25">
        <v>14.5</v>
      </c>
      <c r="B25">
        <v>461.55</v>
      </c>
      <c r="G25">
        <v>460.82</v>
      </c>
      <c r="H25">
        <f t="shared" si="0"/>
        <v>0.73000000000001819</v>
      </c>
    </row>
    <row r="26" spans="1:8" x14ac:dyDescent="0.3">
      <c r="A26">
        <v>15</v>
      </c>
      <c r="B26">
        <v>457.12</v>
      </c>
      <c r="G26">
        <v>456.75</v>
      </c>
      <c r="H26">
        <f t="shared" si="0"/>
        <v>0.37000000000000455</v>
      </c>
    </row>
    <row r="27" spans="1:8" x14ac:dyDescent="0.3">
      <c r="A27">
        <v>15.5</v>
      </c>
      <c r="B27">
        <v>453.05</v>
      </c>
      <c r="G27">
        <v>452.68</v>
      </c>
      <c r="H27">
        <f t="shared" si="0"/>
        <v>0.37000000000000455</v>
      </c>
    </row>
    <row r="28" spans="1:8" x14ac:dyDescent="0.3">
      <c r="A28">
        <v>16</v>
      </c>
      <c r="B28">
        <v>448.98</v>
      </c>
      <c r="G28">
        <v>448.61</v>
      </c>
      <c r="H28">
        <f t="shared" si="0"/>
        <v>0.37000000000000455</v>
      </c>
    </row>
    <row r="29" spans="1:8" x14ac:dyDescent="0.3">
      <c r="A29">
        <v>16.5</v>
      </c>
      <c r="B29">
        <v>444.9</v>
      </c>
      <c r="G29">
        <v>444.54</v>
      </c>
      <c r="H29">
        <f t="shared" si="0"/>
        <v>0.3599999999999568</v>
      </c>
    </row>
    <row r="30" spans="1:8" x14ac:dyDescent="0.3">
      <c r="A30">
        <v>17</v>
      </c>
      <c r="B30">
        <v>441.56</v>
      </c>
      <c r="G30">
        <v>441.19</v>
      </c>
      <c r="H30">
        <f t="shared" si="0"/>
        <v>0.37000000000000455</v>
      </c>
    </row>
    <row r="31" spans="1:8" x14ac:dyDescent="0.3">
      <c r="A31">
        <v>17.5</v>
      </c>
      <c r="B31">
        <v>437.84</v>
      </c>
      <c r="G31">
        <v>437.47</v>
      </c>
      <c r="H31">
        <f t="shared" si="0"/>
        <v>0.3699999999999477</v>
      </c>
    </row>
    <row r="32" spans="1:8" x14ac:dyDescent="0.3">
      <c r="A32">
        <v>18</v>
      </c>
      <c r="B32">
        <v>434.5</v>
      </c>
      <c r="C32">
        <v>437.47</v>
      </c>
      <c r="D32">
        <v>431.52</v>
      </c>
      <c r="G32">
        <v>434.12</v>
      </c>
      <c r="H32">
        <f t="shared" si="0"/>
        <v>0.37999999999999545</v>
      </c>
    </row>
    <row r="33" spans="1:8" x14ac:dyDescent="0.3">
      <c r="A33">
        <v>18.5</v>
      </c>
      <c r="B33">
        <v>431.15</v>
      </c>
      <c r="G33">
        <v>430.77</v>
      </c>
      <c r="H33">
        <f t="shared" si="0"/>
        <v>0.37999999999999545</v>
      </c>
    </row>
    <row r="34" spans="1:8" x14ac:dyDescent="0.3">
      <c r="A34">
        <v>19</v>
      </c>
      <c r="B34">
        <v>428.17</v>
      </c>
      <c r="G34">
        <v>427.79</v>
      </c>
      <c r="H34">
        <f t="shared" si="0"/>
        <v>0.37999999999999545</v>
      </c>
    </row>
    <row r="37" spans="1:8" x14ac:dyDescent="0.3">
      <c r="G37">
        <v>491.71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2"/>
  <sheetViews>
    <sheetView topLeftCell="A25" zoomScale="69" workbookViewId="0">
      <selection activeCell="J52" sqref="J52"/>
    </sheetView>
  </sheetViews>
  <sheetFormatPr defaultRowHeight="14.4" x14ac:dyDescent="0.3"/>
  <cols>
    <col min="1" max="1" width="5.5546875" bestFit="1" customWidth="1"/>
  </cols>
  <sheetData>
    <row r="1" spans="1:20" x14ac:dyDescent="0.3">
      <c r="A1" t="s">
        <v>0</v>
      </c>
      <c r="B1" t="s">
        <v>8</v>
      </c>
      <c r="E1" t="s">
        <v>7</v>
      </c>
      <c r="H1" t="s">
        <v>0</v>
      </c>
      <c r="I1" t="s">
        <v>1</v>
      </c>
      <c r="J1" t="s">
        <v>22</v>
      </c>
      <c r="L1" t="s">
        <v>23</v>
      </c>
      <c r="N1" t="s">
        <v>21</v>
      </c>
      <c r="O1" t="s">
        <v>24</v>
      </c>
      <c r="R1">
        <v>661.64</v>
      </c>
      <c r="S1">
        <v>551.65</v>
      </c>
      <c r="T1">
        <v>459.34</v>
      </c>
    </row>
    <row r="2" spans="1:20" x14ac:dyDescent="0.3">
      <c r="Q2">
        <v>5</v>
      </c>
      <c r="R2">
        <f t="shared" ref="R2:R65" si="0">$Q2*(0.000000000646*R$1^4-0.0000015648*R$1^3+0.0013882318*R$1^2-0.5311145615*R$1+74.3371688691)+R$1</f>
        <v>667.7263876749447</v>
      </c>
      <c r="S2">
        <f t="shared" ref="S2:T17" si="1">$Q2*(0.000000000646*S$1^4-0.0000015648*S$1^3+0.0013882318*S$1^2-0.5311145615*S$1+74.3371688691)+S$1</f>
        <v>556.36612216122262</v>
      </c>
      <c r="T2">
        <f t="shared" si="1"/>
        <v>461.26267769313858</v>
      </c>
    </row>
    <row r="3" spans="1:20" x14ac:dyDescent="0.3">
      <c r="Q3">
        <v>4.9000000000000004</v>
      </c>
      <c r="R3">
        <f t="shared" si="0"/>
        <v>667.60465992144577</v>
      </c>
      <c r="S3">
        <f t="shared" si="1"/>
        <v>556.27179971799819</v>
      </c>
      <c r="T3">
        <f t="shared" si="1"/>
        <v>461.2242241392758</v>
      </c>
    </row>
    <row r="4" spans="1:20" x14ac:dyDescent="0.3">
      <c r="Q4">
        <v>4.8</v>
      </c>
      <c r="R4">
        <f t="shared" si="0"/>
        <v>667.48293216794684</v>
      </c>
      <c r="S4">
        <f t="shared" si="1"/>
        <v>556.17747727477376</v>
      </c>
      <c r="T4">
        <f t="shared" si="1"/>
        <v>461.18577058541302</v>
      </c>
    </row>
    <row r="5" spans="1:20" x14ac:dyDescent="0.3">
      <c r="Q5">
        <v>4.7</v>
      </c>
      <c r="R5">
        <f t="shared" si="0"/>
        <v>667.36120441444803</v>
      </c>
      <c r="S5">
        <f t="shared" si="1"/>
        <v>556.08315483154934</v>
      </c>
      <c r="T5">
        <f t="shared" si="1"/>
        <v>461.14731703155024</v>
      </c>
    </row>
    <row r="6" spans="1:20" x14ac:dyDescent="0.3">
      <c r="Q6">
        <v>4.5999999999999996</v>
      </c>
      <c r="R6">
        <f t="shared" si="0"/>
        <v>667.23947666094909</v>
      </c>
      <c r="S6">
        <f t="shared" si="1"/>
        <v>555.98883238832479</v>
      </c>
      <c r="T6">
        <f t="shared" si="1"/>
        <v>461.10886347768746</v>
      </c>
    </row>
    <row r="7" spans="1:20" x14ac:dyDescent="0.3">
      <c r="Q7">
        <v>4.5</v>
      </c>
      <c r="R7">
        <f t="shared" si="0"/>
        <v>667.11774890745016</v>
      </c>
      <c r="S7">
        <f t="shared" si="1"/>
        <v>555.89450994510037</v>
      </c>
      <c r="T7">
        <f t="shared" si="1"/>
        <v>461.07040992382468</v>
      </c>
    </row>
    <row r="8" spans="1:20" x14ac:dyDescent="0.3">
      <c r="Q8">
        <v>4.4000000000000004</v>
      </c>
      <c r="R8">
        <f t="shared" si="0"/>
        <v>666.99602115395135</v>
      </c>
      <c r="S8">
        <f t="shared" si="1"/>
        <v>555.80018750187594</v>
      </c>
      <c r="T8">
        <f t="shared" si="1"/>
        <v>461.0319563699619</v>
      </c>
    </row>
    <row r="9" spans="1:20" x14ac:dyDescent="0.3">
      <c r="Q9">
        <v>4.3</v>
      </c>
      <c r="R9">
        <f t="shared" si="0"/>
        <v>666.87429340045242</v>
      </c>
      <c r="S9">
        <f t="shared" si="1"/>
        <v>555.70586505865151</v>
      </c>
      <c r="T9">
        <f t="shared" si="1"/>
        <v>460.99350281609918</v>
      </c>
    </row>
    <row r="10" spans="1:20" x14ac:dyDescent="0.3">
      <c r="Q10">
        <v>4.2</v>
      </c>
      <c r="R10">
        <f t="shared" si="0"/>
        <v>666.75256564695349</v>
      </c>
      <c r="S10">
        <f t="shared" si="1"/>
        <v>555.61154261542697</v>
      </c>
      <c r="T10">
        <f t="shared" si="1"/>
        <v>460.9550492622364</v>
      </c>
    </row>
    <row r="11" spans="1:20" x14ac:dyDescent="0.3">
      <c r="Q11">
        <v>4.0999999999999996</v>
      </c>
      <c r="R11">
        <f t="shared" si="0"/>
        <v>666.63083789345467</v>
      </c>
      <c r="S11">
        <f t="shared" si="1"/>
        <v>555.51722017220254</v>
      </c>
      <c r="T11">
        <f t="shared" si="1"/>
        <v>460.91659570837362</v>
      </c>
    </row>
    <row r="12" spans="1:20" x14ac:dyDescent="0.3">
      <c r="Q12">
        <v>4</v>
      </c>
      <c r="R12" s="3">
        <f t="shared" si="0"/>
        <v>666.50911013995574</v>
      </c>
      <c r="S12">
        <f t="shared" si="1"/>
        <v>555.42289772897811</v>
      </c>
      <c r="T12">
        <f t="shared" si="1"/>
        <v>460.87814215451084</v>
      </c>
    </row>
    <row r="13" spans="1:20" x14ac:dyDescent="0.3">
      <c r="Q13">
        <v>3.9</v>
      </c>
      <c r="R13">
        <f t="shared" si="0"/>
        <v>666.38738238645681</v>
      </c>
      <c r="S13">
        <f t="shared" si="1"/>
        <v>555.32857528575369</v>
      </c>
      <c r="T13" s="3">
        <f t="shared" si="1"/>
        <v>460.83968860064806</v>
      </c>
    </row>
    <row r="14" spans="1:20" x14ac:dyDescent="0.3">
      <c r="Q14">
        <v>3.8</v>
      </c>
      <c r="R14">
        <f t="shared" si="0"/>
        <v>666.26565463295799</v>
      </c>
      <c r="S14">
        <f t="shared" si="1"/>
        <v>555.23425284252926</v>
      </c>
      <c r="T14">
        <f t="shared" si="1"/>
        <v>460.80123504678528</v>
      </c>
    </row>
    <row r="15" spans="1:20" x14ac:dyDescent="0.3">
      <c r="Q15">
        <v>3.7</v>
      </c>
      <c r="R15">
        <f t="shared" si="0"/>
        <v>666.14392687945906</v>
      </c>
      <c r="S15" s="3">
        <f t="shared" si="1"/>
        <v>555.13993039930472</v>
      </c>
      <c r="T15">
        <f t="shared" si="1"/>
        <v>460.7627814929225</v>
      </c>
    </row>
    <row r="16" spans="1:20" x14ac:dyDescent="0.3">
      <c r="Q16">
        <v>3.6</v>
      </c>
      <c r="R16">
        <f t="shared" si="0"/>
        <v>666.02219912596013</v>
      </c>
      <c r="S16">
        <f t="shared" si="1"/>
        <v>555.04560795608029</v>
      </c>
      <c r="T16">
        <f t="shared" si="1"/>
        <v>460.72432793905978</v>
      </c>
    </row>
    <row r="17" spans="17:20" x14ac:dyDescent="0.3">
      <c r="Q17">
        <v>3.5</v>
      </c>
      <c r="R17">
        <f t="shared" si="0"/>
        <v>665.90047137246131</v>
      </c>
      <c r="S17">
        <f t="shared" si="1"/>
        <v>554.95128551285586</v>
      </c>
      <c r="T17">
        <f t="shared" si="1"/>
        <v>460.685874385197</v>
      </c>
    </row>
    <row r="18" spans="17:20" x14ac:dyDescent="0.3">
      <c r="Q18">
        <v>3.4</v>
      </c>
      <c r="R18">
        <f t="shared" si="0"/>
        <v>665.77874361896238</v>
      </c>
      <c r="S18">
        <f t="shared" ref="S18:T41" si="2">$Q18*(0.000000000646*S$1^4-0.0000015648*S$1^3+0.0013882318*S$1^2-0.5311145615*S$1+74.3371688691)+S$1</f>
        <v>554.85696306963143</v>
      </c>
      <c r="T18">
        <f t="shared" si="2"/>
        <v>460.64742083133422</v>
      </c>
    </row>
    <row r="19" spans="17:20" x14ac:dyDescent="0.3">
      <c r="Q19">
        <v>3.3</v>
      </c>
      <c r="R19">
        <f t="shared" si="0"/>
        <v>665.65701586546345</v>
      </c>
      <c r="S19">
        <f t="shared" si="2"/>
        <v>554.76264062640689</v>
      </c>
      <c r="T19">
        <f t="shared" si="2"/>
        <v>460.60896727747144</v>
      </c>
    </row>
    <row r="20" spans="17:20" x14ac:dyDescent="0.3">
      <c r="Q20">
        <v>3.2</v>
      </c>
      <c r="R20">
        <f t="shared" si="0"/>
        <v>665.53528811196463</v>
      </c>
      <c r="S20">
        <f t="shared" si="2"/>
        <v>554.66831818318246</v>
      </c>
      <c r="T20">
        <f t="shared" si="2"/>
        <v>460.57051372360866</v>
      </c>
    </row>
    <row r="21" spans="17:20" x14ac:dyDescent="0.3">
      <c r="Q21">
        <v>3.1</v>
      </c>
      <c r="R21">
        <f t="shared" si="0"/>
        <v>665.4135603584657</v>
      </c>
      <c r="S21">
        <f t="shared" si="2"/>
        <v>554.57399573995804</v>
      </c>
      <c r="T21">
        <f t="shared" si="2"/>
        <v>460.53206016974588</v>
      </c>
    </row>
    <row r="22" spans="17:20" x14ac:dyDescent="0.3">
      <c r="Q22">
        <v>3</v>
      </c>
      <c r="R22">
        <f t="shared" si="0"/>
        <v>665.29183260496677</v>
      </c>
      <c r="S22">
        <f t="shared" si="2"/>
        <v>554.47967329673361</v>
      </c>
      <c r="T22">
        <f t="shared" si="2"/>
        <v>460.4936066158831</v>
      </c>
    </row>
    <row r="23" spans="17:20" x14ac:dyDescent="0.3">
      <c r="Q23">
        <v>2.9</v>
      </c>
      <c r="R23">
        <f t="shared" si="0"/>
        <v>665.17010485146795</v>
      </c>
      <c r="S23">
        <f t="shared" si="2"/>
        <v>554.38535085350918</v>
      </c>
      <c r="T23">
        <f t="shared" si="2"/>
        <v>460.45515306202037</v>
      </c>
    </row>
    <row r="24" spans="17:20" x14ac:dyDescent="0.3">
      <c r="Q24">
        <v>2.8</v>
      </c>
      <c r="R24">
        <f t="shared" si="0"/>
        <v>665.04837709796902</v>
      </c>
      <c r="S24">
        <f t="shared" si="2"/>
        <v>554.29102841028464</v>
      </c>
      <c r="T24">
        <f t="shared" si="2"/>
        <v>460.41669950815759</v>
      </c>
    </row>
    <row r="25" spans="17:20" x14ac:dyDescent="0.3">
      <c r="Q25">
        <v>2.7</v>
      </c>
      <c r="R25">
        <f t="shared" si="0"/>
        <v>664.92664934447009</v>
      </c>
      <c r="S25">
        <f t="shared" si="2"/>
        <v>554.19670596706021</v>
      </c>
      <c r="T25">
        <f t="shared" si="2"/>
        <v>460.37824595429481</v>
      </c>
    </row>
    <row r="26" spans="17:20" x14ac:dyDescent="0.3">
      <c r="Q26">
        <v>2.6</v>
      </c>
      <c r="R26">
        <f t="shared" si="0"/>
        <v>664.80492159097128</v>
      </c>
      <c r="S26">
        <f t="shared" si="2"/>
        <v>554.10238352383578</v>
      </c>
      <c r="T26">
        <f t="shared" si="2"/>
        <v>460.33979240043203</v>
      </c>
    </row>
    <row r="27" spans="17:20" x14ac:dyDescent="0.3">
      <c r="Q27">
        <v>2.5</v>
      </c>
      <c r="R27">
        <f t="shared" si="0"/>
        <v>664.68319383747234</v>
      </c>
      <c r="S27">
        <f t="shared" si="2"/>
        <v>554.00806108061136</v>
      </c>
      <c r="T27">
        <f t="shared" si="2"/>
        <v>460.30133884656925</v>
      </c>
    </row>
    <row r="28" spans="17:20" x14ac:dyDescent="0.3">
      <c r="Q28">
        <v>2.4</v>
      </c>
      <c r="R28">
        <f t="shared" si="0"/>
        <v>664.56146608397341</v>
      </c>
      <c r="S28">
        <f t="shared" si="2"/>
        <v>553.91373863738681</v>
      </c>
      <c r="T28">
        <f t="shared" si="2"/>
        <v>460.26288529270647</v>
      </c>
    </row>
    <row r="29" spans="17:20" x14ac:dyDescent="0.3">
      <c r="Q29">
        <v>2.2999999999999998</v>
      </c>
      <c r="R29">
        <f t="shared" si="0"/>
        <v>664.4397383304746</v>
      </c>
      <c r="S29">
        <f t="shared" si="2"/>
        <v>553.81941619416239</v>
      </c>
      <c r="T29">
        <f t="shared" si="2"/>
        <v>460.22443173884375</v>
      </c>
    </row>
    <row r="30" spans="17:20" x14ac:dyDescent="0.3">
      <c r="Q30">
        <v>2.2000000000000002</v>
      </c>
      <c r="R30">
        <f t="shared" si="0"/>
        <v>664.31801057697567</v>
      </c>
      <c r="S30">
        <f t="shared" si="2"/>
        <v>553.72509375093796</v>
      </c>
      <c r="T30">
        <f t="shared" si="2"/>
        <v>460.18597818498097</v>
      </c>
    </row>
    <row r="31" spans="17:20" x14ac:dyDescent="0.3">
      <c r="Q31">
        <v>2.1</v>
      </c>
      <c r="R31">
        <f t="shared" si="0"/>
        <v>664.19628282347674</v>
      </c>
      <c r="S31">
        <f t="shared" si="2"/>
        <v>553.63077130771353</v>
      </c>
      <c r="T31">
        <f t="shared" si="2"/>
        <v>460.14752463111819</v>
      </c>
    </row>
    <row r="32" spans="17:20" x14ac:dyDescent="0.3">
      <c r="Q32">
        <v>2</v>
      </c>
      <c r="R32">
        <f t="shared" si="0"/>
        <v>664.07455506997781</v>
      </c>
      <c r="S32">
        <f t="shared" si="2"/>
        <v>553.5364488644891</v>
      </c>
      <c r="T32">
        <f t="shared" si="2"/>
        <v>460.10907107725541</v>
      </c>
    </row>
    <row r="33" spans="1:20" x14ac:dyDescent="0.3">
      <c r="Q33">
        <v>1.9</v>
      </c>
      <c r="R33">
        <f t="shared" si="0"/>
        <v>663.95282731647899</v>
      </c>
      <c r="S33">
        <f t="shared" si="2"/>
        <v>553.44212642126456</v>
      </c>
      <c r="T33">
        <f t="shared" si="2"/>
        <v>460.07061752339263</v>
      </c>
    </row>
    <row r="34" spans="1:20" x14ac:dyDescent="0.3">
      <c r="Q34">
        <v>1.8</v>
      </c>
      <c r="R34">
        <f t="shared" si="0"/>
        <v>663.83109956298006</v>
      </c>
      <c r="S34">
        <f t="shared" si="2"/>
        <v>553.34780397804013</v>
      </c>
      <c r="T34">
        <f t="shared" si="2"/>
        <v>460.03216396952985</v>
      </c>
    </row>
    <row r="35" spans="1:20" x14ac:dyDescent="0.3">
      <c r="Q35">
        <v>1.7</v>
      </c>
      <c r="R35">
        <f t="shared" si="0"/>
        <v>663.70937180948113</v>
      </c>
      <c r="S35">
        <f t="shared" si="2"/>
        <v>553.25348153481571</v>
      </c>
      <c r="T35">
        <f t="shared" si="2"/>
        <v>459.99371041566707</v>
      </c>
    </row>
    <row r="36" spans="1:20" x14ac:dyDescent="0.3">
      <c r="Q36">
        <v>1.6</v>
      </c>
      <c r="R36">
        <f t="shared" si="0"/>
        <v>663.58764405598231</v>
      </c>
      <c r="S36">
        <f t="shared" si="2"/>
        <v>553.15915909159128</v>
      </c>
      <c r="T36">
        <f t="shared" si="2"/>
        <v>459.95525686180434</v>
      </c>
    </row>
    <row r="37" spans="1:20" x14ac:dyDescent="0.3">
      <c r="Q37">
        <v>1.5</v>
      </c>
      <c r="R37">
        <f t="shared" si="0"/>
        <v>663.46591630248338</v>
      </c>
      <c r="S37">
        <f t="shared" si="2"/>
        <v>553.06483664836674</v>
      </c>
      <c r="T37">
        <f t="shared" si="2"/>
        <v>459.91680330794156</v>
      </c>
    </row>
    <row r="38" spans="1:20" x14ac:dyDescent="0.3">
      <c r="Q38">
        <v>1.4</v>
      </c>
      <c r="R38">
        <f t="shared" si="0"/>
        <v>663.34418854898445</v>
      </c>
      <c r="S38">
        <f t="shared" si="2"/>
        <v>552.97051420514231</v>
      </c>
      <c r="T38">
        <f t="shared" si="2"/>
        <v>459.87834975407878</v>
      </c>
    </row>
    <row r="39" spans="1:20" x14ac:dyDescent="0.3">
      <c r="Q39">
        <v>1.3</v>
      </c>
      <c r="R39">
        <f t="shared" si="0"/>
        <v>663.22246079548563</v>
      </c>
      <c r="S39">
        <f t="shared" si="2"/>
        <v>552.87619176191788</v>
      </c>
      <c r="T39">
        <f t="shared" si="2"/>
        <v>459.839896200216</v>
      </c>
    </row>
    <row r="40" spans="1:20" x14ac:dyDescent="0.3">
      <c r="Q40">
        <v>1.2</v>
      </c>
      <c r="R40">
        <f t="shared" si="0"/>
        <v>663.1007330419867</v>
      </c>
      <c r="S40">
        <f t="shared" si="2"/>
        <v>552.78186931869345</v>
      </c>
      <c r="T40">
        <f t="shared" si="2"/>
        <v>459.80144264635322</v>
      </c>
    </row>
    <row r="41" spans="1:20" x14ac:dyDescent="0.3">
      <c r="Q41">
        <v>1.1000000000000001</v>
      </c>
      <c r="R41">
        <f t="shared" si="0"/>
        <v>662.97900528848777</v>
      </c>
      <c r="S41">
        <f t="shared" si="2"/>
        <v>552.68754687546891</v>
      </c>
      <c r="T41">
        <f t="shared" si="2"/>
        <v>459.76298909249044</v>
      </c>
    </row>
    <row r="42" spans="1:20" x14ac:dyDescent="0.3">
      <c r="A42">
        <v>3</v>
      </c>
      <c r="B42" s="2">
        <f xml:space="preserve"> 0.002484*A42^4 - 0.153172*A42^3 + 3.894909*A42^2 - 55.669943*A42 + 806.966612</f>
        <v>671.07652400000006</v>
      </c>
      <c r="C42">
        <f>ROUND(B42,2)</f>
        <v>671.08</v>
      </c>
      <c r="E42">
        <v>5.0999999999999996</v>
      </c>
      <c r="F42">
        <f t="shared" ref="F42:F46" si="3">LOOKUP(E42,A42:B202)</f>
        <v>605.71854274640009</v>
      </c>
      <c r="H42">
        <v>3</v>
      </c>
      <c r="I42">
        <f xml:space="preserve"> 0.002484*H42^4 - 0.153172*H42^3 + 3.894909*H42^2 - 55.669943*H42 + 806.966612</f>
        <v>671.07652400000006</v>
      </c>
      <c r="J42">
        <f>ROUND(I42,2)</f>
        <v>671.08</v>
      </c>
      <c r="L42">
        <f>0.0025609*H42^4-0.1569516*H42^3+3.9565541*H42^2-55.9808564*H42+806.2479852</f>
        <v>669.88414260000002</v>
      </c>
      <c r="N42">
        <f>I42-L42</f>
        <v>1.1923814000000448</v>
      </c>
      <c r="O42">
        <f>0.000000000646*L42^4-0.0000015648*L42^3+0.0013882318*L42^2-0.5311145615*L42+74.3371688691+L42</f>
        <v>671.09422847594362</v>
      </c>
      <c r="Q42">
        <v>1</v>
      </c>
      <c r="R42">
        <f t="shared" si="0"/>
        <v>662.85727753498895</v>
      </c>
      <c r="S42">
        <f t="shared" ref="S42:T61" si="4">$Q42*(0.000000000646*S$1^4-0.0000015648*S$1^3+0.0013882318*S$1^2-0.5311145615*S$1+74.3371688691)+S$1</f>
        <v>552.59322443224448</v>
      </c>
      <c r="T42">
        <f t="shared" si="4"/>
        <v>459.72453553862772</v>
      </c>
    </row>
    <row r="43" spans="1:20" x14ac:dyDescent="0.3">
      <c r="A43">
        <v>3.1</v>
      </c>
      <c r="B43" s="2">
        <f t="shared" ref="B43:B106" si="5" xml:space="preserve"> 0.002484*A43^4 - 0.153172*A43^3 + 3.894909*A43^2 - 55.669943*A43 + 806.966612</f>
        <v>667.48611975440008</v>
      </c>
      <c r="C43">
        <f t="shared" ref="C43:C106" si="6">ROUND(B43,2)</f>
        <v>667.49</v>
      </c>
      <c r="E43">
        <v>5.3</v>
      </c>
      <c r="F43">
        <f t="shared" si="3"/>
        <v>600.48011554640004</v>
      </c>
      <c r="H43">
        <v>3.05</v>
      </c>
      <c r="I43">
        <f t="shared" ref="I43:I106" si="7" xml:space="preserve"> 0.002484*H43^4 - 0.153172*H43^3 + 3.894909*H43^2 - 55.669943*H43 + 806.966612</f>
        <v>669.27474178752504</v>
      </c>
      <c r="J43">
        <f t="shared" ref="J43:J106" si="8">ROUND(I43,2)</f>
        <v>669.27</v>
      </c>
      <c r="L43">
        <f t="shared" ref="L43:L106" si="9">0.0025609*H43^4-0.1569516*H43^3+3.9565541*H43^2-55.9808564*H43+806.2479852</f>
        <v>668.08070014415557</v>
      </c>
      <c r="N43">
        <f t="shared" ref="N43:N106" si="10">I43-L43</f>
        <v>1.1940416433694736</v>
      </c>
      <c r="Q43">
        <v>0.9</v>
      </c>
      <c r="R43">
        <f t="shared" si="0"/>
        <v>662.73554978149002</v>
      </c>
      <c r="S43">
        <f t="shared" si="4"/>
        <v>552.49890198902006</v>
      </c>
      <c r="T43">
        <f t="shared" si="4"/>
        <v>459.68608198476494</v>
      </c>
    </row>
    <row r="44" spans="1:20" x14ac:dyDescent="0.3">
      <c r="A44">
        <v>3.2</v>
      </c>
      <c r="B44" s="2">
        <f t="shared" si="5"/>
        <v>663.94798874240007</v>
      </c>
      <c r="C44">
        <f t="shared" si="6"/>
        <v>663.95</v>
      </c>
      <c r="E44">
        <v>5</v>
      </c>
      <c r="F44">
        <f t="shared" si="3"/>
        <v>608.395622</v>
      </c>
      <c r="H44">
        <v>3.1</v>
      </c>
      <c r="I44">
        <f t="shared" si="7"/>
        <v>667.48611975440008</v>
      </c>
      <c r="J44">
        <f t="shared" si="8"/>
        <v>667.49</v>
      </c>
      <c r="L44">
        <f t="shared" si="9"/>
        <v>666.29057463829008</v>
      </c>
      <c r="N44">
        <f t="shared" si="10"/>
        <v>1.1955451161099973</v>
      </c>
      <c r="Q44">
        <v>0.8</v>
      </c>
      <c r="R44">
        <f t="shared" si="0"/>
        <v>662.61382202799109</v>
      </c>
      <c r="S44">
        <f t="shared" si="4"/>
        <v>552.40457954579563</v>
      </c>
      <c r="T44">
        <f t="shared" si="4"/>
        <v>459.64762843090216</v>
      </c>
    </row>
    <row r="45" spans="1:20" x14ac:dyDescent="0.3">
      <c r="A45">
        <v>3.3</v>
      </c>
      <c r="B45" s="2">
        <f t="shared" si="5"/>
        <v>660.46139972240007</v>
      </c>
      <c r="C45">
        <f t="shared" si="6"/>
        <v>660.46</v>
      </c>
      <c r="E45">
        <v>4.9000000000000004</v>
      </c>
      <c r="F45">
        <f t="shared" si="3"/>
        <v>611.11210033040004</v>
      </c>
      <c r="H45">
        <v>3.15</v>
      </c>
      <c r="I45">
        <f t="shared" si="7"/>
        <v>665.71056593652497</v>
      </c>
      <c r="J45">
        <f t="shared" si="8"/>
        <v>665.71</v>
      </c>
      <c r="L45">
        <f t="shared" si="9"/>
        <v>664.51367199300569</v>
      </c>
      <c r="N45">
        <f t="shared" si="10"/>
        <v>1.1968939435192851</v>
      </c>
      <c r="Q45">
        <v>0.7</v>
      </c>
      <c r="R45">
        <f t="shared" si="0"/>
        <v>662.49209427449227</v>
      </c>
      <c r="S45">
        <f t="shared" si="4"/>
        <v>552.3102571025712</v>
      </c>
      <c r="T45">
        <f t="shared" si="4"/>
        <v>459.60917487703938</v>
      </c>
    </row>
    <row r="46" spans="1:20" x14ac:dyDescent="0.3">
      <c r="A46">
        <v>3.4</v>
      </c>
      <c r="B46" s="2">
        <f t="shared" si="5"/>
        <v>657.02562741440011</v>
      </c>
      <c r="C46">
        <f t="shared" si="6"/>
        <v>657.03</v>
      </c>
      <c r="E46">
        <v>5</v>
      </c>
      <c r="F46">
        <f t="shared" si="3"/>
        <v>608.395622</v>
      </c>
      <c r="H46">
        <v>3.2</v>
      </c>
      <c r="I46">
        <f t="shared" si="7"/>
        <v>663.94798874240007</v>
      </c>
      <c r="J46">
        <f t="shared" si="8"/>
        <v>663.95</v>
      </c>
      <c r="L46">
        <f t="shared" si="9"/>
        <v>662.74989850303996</v>
      </c>
      <c r="N46">
        <f t="shared" si="10"/>
        <v>1.1980902393601127</v>
      </c>
      <c r="Q46">
        <v>0.6</v>
      </c>
      <c r="R46">
        <f t="shared" si="0"/>
        <v>662.37036652099334</v>
      </c>
      <c r="S46">
        <f t="shared" si="4"/>
        <v>552.21593465934666</v>
      </c>
      <c r="T46">
        <f t="shared" si="4"/>
        <v>459.5707213231766</v>
      </c>
    </row>
    <row r="47" spans="1:20" x14ac:dyDescent="0.3">
      <c r="A47">
        <v>3.5</v>
      </c>
      <c r="B47" s="2">
        <f t="shared" si="5"/>
        <v>653.63995250000005</v>
      </c>
      <c r="C47">
        <f t="shared" si="6"/>
        <v>653.64</v>
      </c>
      <c r="F47">
        <f>AVERAGE(F42:F46)</f>
        <v>606.82040052464004</v>
      </c>
      <c r="H47">
        <v>3.25</v>
      </c>
      <c r="I47">
        <f t="shared" si="7"/>
        <v>662.19829695312501</v>
      </c>
      <c r="J47">
        <f t="shared" si="8"/>
        <v>662.2</v>
      </c>
      <c r="L47">
        <f t="shared" si="9"/>
        <v>660.99916084726567</v>
      </c>
      <c r="N47">
        <f t="shared" si="10"/>
        <v>1.1991361058593384</v>
      </c>
      <c r="Q47">
        <v>0.5</v>
      </c>
      <c r="R47">
        <f t="shared" si="0"/>
        <v>662.24863876749441</v>
      </c>
      <c r="S47">
        <f t="shared" si="4"/>
        <v>552.12161221612223</v>
      </c>
      <c r="T47">
        <f t="shared" si="4"/>
        <v>459.53226776931382</v>
      </c>
    </row>
    <row r="48" spans="1:20" x14ac:dyDescent="0.3">
      <c r="A48">
        <v>3.6</v>
      </c>
      <c r="B48" s="2">
        <f t="shared" si="5"/>
        <v>650.3036616224</v>
      </c>
      <c r="C48">
        <f t="shared" si="6"/>
        <v>650.29999999999995</v>
      </c>
      <c r="H48">
        <v>3.3</v>
      </c>
      <c r="I48">
        <f t="shared" si="7"/>
        <v>660.46139972240007</v>
      </c>
      <c r="J48">
        <f t="shared" si="8"/>
        <v>660.46</v>
      </c>
      <c r="L48">
        <f t="shared" si="9"/>
        <v>659.26136608869001</v>
      </c>
      <c r="N48">
        <f t="shared" si="10"/>
        <v>1.2000336337100634</v>
      </c>
      <c r="Q48">
        <v>0.4</v>
      </c>
      <c r="R48">
        <f t="shared" si="0"/>
        <v>662.1269110139956</v>
      </c>
      <c r="S48">
        <f t="shared" si="4"/>
        <v>552.0272897728978</v>
      </c>
      <c r="T48">
        <f t="shared" si="4"/>
        <v>459.49381421545104</v>
      </c>
    </row>
    <row r="49" spans="1:20" x14ac:dyDescent="0.3">
      <c r="A49">
        <v>3.7</v>
      </c>
      <c r="B49" s="2">
        <f t="shared" si="5"/>
        <v>647.01604738640003</v>
      </c>
      <c r="C49">
        <f t="shared" si="6"/>
        <v>647.02</v>
      </c>
      <c r="H49">
        <v>3.35</v>
      </c>
      <c r="I49">
        <f t="shared" si="7"/>
        <v>658.73720657652507</v>
      </c>
      <c r="J49">
        <f t="shared" si="8"/>
        <v>658.74</v>
      </c>
      <c r="L49">
        <f t="shared" si="9"/>
        <v>657.5364216744556</v>
      </c>
      <c r="N49">
        <f t="shared" si="10"/>
        <v>1.2007849020694721</v>
      </c>
      <c r="Q49">
        <v>0.3</v>
      </c>
      <c r="R49">
        <f t="shared" si="0"/>
        <v>662.00518326049666</v>
      </c>
      <c r="S49">
        <f t="shared" si="4"/>
        <v>551.93296732967337</v>
      </c>
      <c r="T49">
        <f t="shared" si="4"/>
        <v>459.45536066158832</v>
      </c>
    </row>
    <row r="50" spans="1:20" x14ac:dyDescent="0.3">
      <c r="A50">
        <v>3.8</v>
      </c>
      <c r="B50" s="2">
        <f t="shared" si="5"/>
        <v>643.77640835840009</v>
      </c>
      <c r="C50">
        <f t="shared" si="6"/>
        <v>643.78</v>
      </c>
      <c r="H50">
        <v>3.4</v>
      </c>
      <c r="I50">
        <f t="shared" si="7"/>
        <v>657.02562741440011</v>
      </c>
      <c r="J50">
        <f t="shared" si="8"/>
        <v>657.03</v>
      </c>
      <c r="L50">
        <f t="shared" si="9"/>
        <v>655.82423543584002</v>
      </c>
      <c r="N50">
        <f t="shared" si="10"/>
        <v>1.201391978560082</v>
      </c>
      <c r="Q50">
        <v>0.2</v>
      </c>
      <c r="R50">
        <f t="shared" si="0"/>
        <v>661.88345550699773</v>
      </c>
      <c r="S50">
        <f t="shared" si="4"/>
        <v>551.83864488644883</v>
      </c>
      <c r="T50">
        <f t="shared" si="4"/>
        <v>459.41690710772554</v>
      </c>
    </row>
    <row r="51" spans="1:20" x14ac:dyDescent="0.3">
      <c r="A51">
        <v>3.9</v>
      </c>
      <c r="B51" s="2">
        <f t="shared" si="5"/>
        <v>640.58404906639998</v>
      </c>
      <c r="C51">
        <f t="shared" si="6"/>
        <v>640.58000000000004</v>
      </c>
      <c r="H51">
        <v>3.45</v>
      </c>
      <c r="I51">
        <f t="shared" si="7"/>
        <v>655.32657250752504</v>
      </c>
      <c r="J51">
        <f t="shared" si="8"/>
        <v>655.33000000000004</v>
      </c>
      <c r="L51">
        <f t="shared" si="9"/>
        <v>654.12471558825564</v>
      </c>
      <c r="N51">
        <f t="shared" si="10"/>
        <v>1.2018569192694031</v>
      </c>
      <c r="Q51">
        <v>0.1</v>
      </c>
      <c r="R51">
        <f t="shared" si="0"/>
        <v>661.76172775349892</v>
      </c>
      <c r="S51">
        <f t="shared" si="4"/>
        <v>551.74432244322441</v>
      </c>
      <c r="T51">
        <f t="shared" si="4"/>
        <v>459.37845355386276</v>
      </c>
    </row>
    <row r="52" spans="1:20" x14ac:dyDescent="0.3">
      <c r="A52">
        <v>4</v>
      </c>
      <c r="B52" s="2">
        <f t="shared" si="5"/>
        <v>637.43828000000008</v>
      </c>
      <c r="C52">
        <f t="shared" si="6"/>
        <v>637.44000000000005</v>
      </c>
      <c r="H52">
        <v>3.5</v>
      </c>
      <c r="I52">
        <f t="shared" si="7"/>
        <v>653.63995250000005</v>
      </c>
      <c r="J52">
        <f t="shared" si="8"/>
        <v>653.64</v>
      </c>
      <c r="L52">
        <f t="shared" si="9"/>
        <v>652.43777073125</v>
      </c>
      <c r="N52">
        <f t="shared" si="10"/>
        <v>1.2021817687500516</v>
      </c>
      <c r="Q52">
        <v>0</v>
      </c>
      <c r="R52">
        <f t="shared" si="0"/>
        <v>661.64</v>
      </c>
      <c r="S52">
        <f t="shared" si="4"/>
        <v>551.65</v>
      </c>
      <c r="T52">
        <f t="shared" si="4"/>
        <v>459.34</v>
      </c>
    </row>
    <row r="53" spans="1:20" x14ac:dyDescent="0.3">
      <c r="A53">
        <v>4.0999999999999996</v>
      </c>
      <c r="B53" s="2">
        <f t="shared" si="5"/>
        <v>634.33841761040003</v>
      </c>
      <c r="C53">
        <f t="shared" si="6"/>
        <v>634.34</v>
      </c>
      <c r="H53">
        <v>3.55</v>
      </c>
      <c r="I53">
        <f t="shared" si="7"/>
        <v>651.96567840852504</v>
      </c>
      <c r="J53">
        <f t="shared" si="8"/>
        <v>651.97</v>
      </c>
      <c r="L53">
        <f t="shared" si="9"/>
        <v>650.76330984850563</v>
      </c>
      <c r="N53">
        <f t="shared" si="10"/>
        <v>1.2023685600194085</v>
      </c>
      <c r="Q53">
        <v>-0.1</v>
      </c>
      <c r="R53">
        <f t="shared" si="0"/>
        <v>661.51827224650106</v>
      </c>
      <c r="S53">
        <f t="shared" si="4"/>
        <v>551.55567755677555</v>
      </c>
      <c r="T53">
        <f t="shared" si="4"/>
        <v>459.30154644613719</v>
      </c>
    </row>
    <row r="54" spans="1:20" x14ac:dyDescent="0.3">
      <c r="A54">
        <v>4.2</v>
      </c>
      <c r="B54" s="2">
        <f t="shared" si="5"/>
        <v>631.28378431040005</v>
      </c>
      <c r="C54">
        <f t="shared" si="6"/>
        <v>631.28</v>
      </c>
      <c r="H54">
        <v>3.6</v>
      </c>
      <c r="I54">
        <f t="shared" si="7"/>
        <v>650.3036616224</v>
      </c>
      <c r="J54">
        <f t="shared" si="8"/>
        <v>650.29999999999995</v>
      </c>
      <c r="L54">
        <f t="shared" si="9"/>
        <v>649.10124230784004</v>
      </c>
      <c r="N54">
        <f t="shared" si="10"/>
        <v>1.2024193145599611</v>
      </c>
      <c r="Q54">
        <v>-0.2</v>
      </c>
      <c r="R54">
        <f t="shared" si="0"/>
        <v>661.39654449300224</v>
      </c>
      <c r="S54">
        <f t="shared" si="4"/>
        <v>551.46135511355112</v>
      </c>
      <c r="T54">
        <f t="shared" si="4"/>
        <v>459.26309289227441</v>
      </c>
    </row>
    <row r="55" spans="1:20" x14ac:dyDescent="0.3">
      <c r="A55">
        <v>4.3</v>
      </c>
      <c r="B55" s="2">
        <f t="shared" si="5"/>
        <v>628.27370847440011</v>
      </c>
      <c r="C55">
        <f t="shared" si="6"/>
        <v>628.27</v>
      </c>
      <c r="H55">
        <v>3.65</v>
      </c>
      <c r="I55">
        <f t="shared" si="7"/>
        <v>648.65381390352502</v>
      </c>
      <c r="J55">
        <f t="shared" si="8"/>
        <v>648.65</v>
      </c>
      <c r="L55">
        <f t="shared" si="9"/>
        <v>647.4514778612056</v>
      </c>
      <c r="N55">
        <f t="shared" si="10"/>
        <v>1.2023360423194163</v>
      </c>
      <c r="Q55">
        <v>-0.3</v>
      </c>
      <c r="R55">
        <f t="shared" si="0"/>
        <v>661.27481673950331</v>
      </c>
      <c r="S55">
        <f t="shared" si="4"/>
        <v>551.36703267032658</v>
      </c>
      <c r="T55">
        <f t="shared" si="4"/>
        <v>459.22463933841163</v>
      </c>
    </row>
    <row r="56" spans="1:20" x14ac:dyDescent="0.3">
      <c r="A56">
        <v>4.4000000000000004</v>
      </c>
      <c r="B56" s="2">
        <f t="shared" si="5"/>
        <v>625.30752443840004</v>
      </c>
      <c r="C56">
        <f t="shared" si="6"/>
        <v>625.30999999999995</v>
      </c>
      <c r="H56">
        <v>3.7</v>
      </c>
      <c r="I56">
        <f t="shared" si="7"/>
        <v>647.01604738640003</v>
      </c>
      <c r="J56">
        <f t="shared" si="8"/>
        <v>647.02</v>
      </c>
      <c r="L56">
        <f t="shared" si="9"/>
        <v>645.81392664469001</v>
      </c>
      <c r="N56">
        <f t="shared" si="10"/>
        <v>1.2021207417100186</v>
      </c>
      <c r="Q56">
        <v>-0.4</v>
      </c>
      <c r="R56">
        <f t="shared" si="0"/>
        <v>661.15308898600438</v>
      </c>
      <c r="S56">
        <f t="shared" si="4"/>
        <v>551.27271022710215</v>
      </c>
      <c r="T56">
        <f t="shared" si="4"/>
        <v>459.18618578454891</v>
      </c>
    </row>
    <row r="57" spans="1:20" x14ac:dyDescent="0.3">
      <c r="A57">
        <v>4.5</v>
      </c>
      <c r="B57" s="2">
        <f t="shared" si="5"/>
        <v>622.3845725000001</v>
      </c>
      <c r="C57">
        <f t="shared" si="6"/>
        <v>622.38</v>
      </c>
      <c r="H57">
        <v>3.75</v>
      </c>
      <c r="I57">
        <f t="shared" si="7"/>
        <v>645.39027457812506</v>
      </c>
      <c r="J57">
        <f t="shared" si="8"/>
        <v>645.39</v>
      </c>
      <c r="L57">
        <f t="shared" si="9"/>
        <v>644.18849917851571</v>
      </c>
      <c r="N57">
        <f t="shared" si="10"/>
        <v>1.2017753996093461</v>
      </c>
      <c r="Q57">
        <v>-0.5</v>
      </c>
      <c r="R57">
        <f t="shared" si="0"/>
        <v>661.03136123250556</v>
      </c>
      <c r="S57">
        <f t="shared" si="4"/>
        <v>551.17838778387772</v>
      </c>
      <c r="T57">
        <f t="shared" si="4"/>
        <v>459.14773223068613</v>
      </c>
    </row>
    <row r="58" spans="1:20" x14ac:dyDescent="0.3">
      <c r="A58">
        <v>4.5999999999999996</v>
      </c>
      <c r="B58" s="2">
        <f t="shared" si="5"/>
        <v>619.50419891840011</v>
      </c>
      <c r="C58">
        <f t="shared" si="6"/>
        <v>619.5</v>
      </c>
      <c r="H58">
        <v>3.8</v>
      </c>
      <c r="I58">
        <f t="shared" si="7"/>
        <v>643.77640835840009</v>
      </c>
      <c r="J58">
        <f t="shared" si="8"/>
        <v>643.78</v>
      </c>
      <c r="L58">
        <f t="shared" si="9"/>
        <v>642.57510636704001</v>
      </c>
      <c r="N58">
        <f t="shared" si="10"/>
        <v>1.2013019913600829</v>
      </c>
      <c r="Q58">
        <v>-0.6</v>
      </c>
      <c r="R58">
        <f t="shared" si="0"/>
        <v>660.90963347900663</v>
      </c>
      <c r="S58">
        <f t="shared" si="4"/>
        <v>551.0840653406533</v>
      </c>
      <c r="T58">
        <f t="shared" si="4"/>
        <v>459.10927867682335</v>
      </c>
    </row>
    <row r="59" spans="1:20" x14ac:dyDescent="0.3">
      <c r="A59">
        <v>4.7</v>
      </c>
      <c r="B59" s="2">
        <f t="shared" si="5"/>
        <v>616.66575591440005</v>
      </c>
      <c r="C59">
        <f t="shared" si="6"/>
        <v>616.66999999999996</v>
      </c>
      <c r="H59">
        <v>3.85</v>
      </c>
      <c r="I59">
        <f t="shared" si="7"/>
        <v>642.17436197952497</v>
      </c>
      <c r="J59">
        <f t="shared" si="8"/>
        <v>642.16999999999996</v>
      </c>
      <c r="L59">
        <f t="shared" si="9"/>
        <v>640.97365949875564</v>
      </c>
      <c r="N59">
        <f t="shared" si="10"/>
        <v>1.2007024807693369</v>
      </c>
      <c r="Q59">
        <v>-0.7</v>
      </c>
      <c r="R59">
        <f t="shared" si="0"/>
        <v>660.7879057255077</v>
      </c>
      <c r="S59">
        <f t="shared" si="4"/>
        <v>550.98974289742875</v>
      </c>
      <c r="T59">
        <f t="shared" si="4"/>
        <v>459.07082512296057</v>
      </c>
    </row>
    <row r="60" spans="1:20" x14ac:dyDescent="0.3">
      <c r="A60">
        <v>4.8</v>
      </c>
      <c r="B60" s="2">
        <f t="shared" si="5"/>
        <v>613.86860167040004</v>
      </c>
      <c r="C60">
        <f t="shared" si="6"/>
        <v>613.87</v>
      </c>
      <c r="H60">
        <v>3.9</v>
      </c>
      <c r="I60">
        <f t="shared" si="7"/>
        <v>640.58404906639998</v>
      </c>
      <c r="J60">
        <f t="shared" si="8"/>
        <v>640.58000000000004</v>
      </c>
      <c r="L60">
        <f t="shared" si="9"/>
        <v>639.38407024628998</v>
      </c>
      <c r="N60">
        <f t="shared" si="10"/>
        <v>1.1999788201100046</v>
      </c>
      <c r="Q60">
        <v>-0.8</v>
      </c>
      <c r="R60">
        <f t="shared" si="0"/>
        <v>660.66617797200888</v>
      </c>
      <c r="S60">
        <f t="shared" si="4"/>
        <v>550.89542045420433</v>
      </c>
      <c r="T60">
        <f t="shared" si="4"/>
        <v>459.03237156909779</v>
      </c>
    </row>
    <row r="61" spans="1:20" x14ac:dyDescent="0.3">
      <c r="A61">
        <v>4.9000000000000004</v>
      </c>
      <c r="B61" s="2">
        <f t="shared" si="5"/>
        <v>611.11210033040004</v>
      </c>
      <c r="C61">
        <f t="shared" si="6"/>
        <v>611.11</v>
      </c>
      <c r="H61">
        <v>3.95</v>
      </c>
      <c r="I61">
        <f t="shared" si="7"/>
        <v>639.00538361652502</v>
      </c>
      <c r="J61">
        <f t="shared" si="8"/>
        <v>639.01</v>
      </c>
      <c r="L61">
        <f t="shared" si="9"/>
        <v>637.80625066640562</v>
      </c>
      <c r="N61">
        <f t="shared" si="10"/>
        <v>1.1991329501194059</v>
      </c>
      <c r="Q61">
        <v>-0.9</v>
      </c>
      <c r="R61">
        <f t="shared" si="0"/>
        <v>660.54445021850995</v>
      </c>
      <c r="S61">
        <f t="shared" si="4"/>
        <v>550.8010980109799</v>
      </c>
      <c r="T61">
        <f t="shared" si="4"/>
        <v>458.99391801523501</v>
      </c>
    </row>
    <row r="62" spans="1:20" x14ac:dyDescent="0.3">
      <c r="A62">
        <v>5</v>
      </c>
      <c r="B62" s="2">
        <f t="shared" si="5"/>
        <v>608.395622</v>
      </c>
      <c r="C62">
        <f t="shared" si="6"/>
        <v>608.4</v>
      </c>
      <c r="H62">
        <v>4</v>
      </c>
      <c r="I62">
        <f t="shared" si="7"/>
        <v>637.43828000000008</v>
      </c>
      <c r="J62">
        <f t="shared" si="8"/>
        <v>637.44000000000005</v>
      </c>
      <c r="L62">
        <f t="shared" si="9"/>
        <v>636.2401132</v>
      </c>
      <c r="N62">
        <f t="shared" si="10"/>
        <v>1.1981668000000809</v>
      </c>
      <c r="Q62">
        <v>-1</v>
      </c>
      <c r="R62">
        <f t="shared" si="0"/>
        <v>660.42272246501102</v>
      </c>
      <c r="S62">
        <f t="shared" ref="S62:T81" si="11">$Q62*(0.000000000646*S$1^4-0.0000015648*S$1^3+0.0013882318*S$1^2-0.5311145615*S$1+74.3371688691)+S$1</f>
        <v>550.70677556775547</v>
      </c>
      <c r="T62">
        <f t="shared" si="11"/>
        <v>458.95546446137223</v>
      </c>
    </row>
    <row r="63" spans="1:20" x14ac:dyDescent="0.3">
      <c r="A63">
        <v>5.0999999999999996</v>
      </c>
      <c r="B63" s="2">
        <f t="shared" si="5"/>
        <v>605.71854274640009</v>
      </c>
      <c r="C63">
        <f t="shared" si="6"/>
        <v>605.72</v>
      </c>
      <c r="H63">
        <v>4.05</v>
      </c>
      <c r="I63">
        <f t="shared" si="7"/>
        <v>635.8826529595251</v>
      </c>
      <c r="J63">
        <f t="shared" si="8"/>
        <v>635.88</v>
      </c>
      <c r="L63">
        <f t="shared" si="9"/>
        <v>634.68557067210565</v>
      </c>
      <c r="N63">
        <f t="shared" si="10"/>
        <v>1.1970822874194482</v>
      </c>
      <c r="Q63">
        <v>-1.1000000000000001</v>
      </c>
      <c r="R63">
        <f t="shared" si="0"/>
        <v>660.3009947115122</v>
      </c>
      <c r="S63">
        <f t="shared" si="11"/>
        <v>550.61245312453104</v>
      </c>
      <c r="T63">
        <f t="shared" si="11"/>
        <v>458.91701090750951</v>
      </c>
    </row>
    <row r="64" spans="1:20" x14ac:dyDescent="0.3">
      <c r="A64">
        <v>5.2</v>
      </c>
      <c r="B64" s="2">
        <f t="shared" si="5"/>
        <v>603.08024459839999</v>
      </c>
      <c r="C64">
        <f t="shared" si="6"/>
        <v>603.08000000000004</v>
      </c>
      <c r="H64">
        <v>4.0999999999999996</v>
      </c>
      <c r="I64">
        <f t="shared" si="7"/>
        <v>634.33841761040003</v>
      </c>
      <c r="J64">
        <f t="shared" si="8"/>
        <v>634.34</v>
      </c>
      <c r="L64">
        <f t="shared" si="9"/>
        <v>633.14253629189</v>
      </c>
      <c r="N64">
        <f t="shared" si="10"/>
        <v>1.1958813185100325</v>
      </c>
      <c r="Q64">
        <v>-1.2</v>
      </c>
      <c r="R64">
        <f t="shared" si="0"/>
        <v>660.17926695801327</v>
      </c>
      <c r="S64">
        <f t="shared" si="11"/>
        <v>550.5181306813065</v>
      </c>
      <c r="T64">
        <f t="shared" si="11"/>
        <v>458.87855735364673</v>
      </c>
    </row>
    <row r="65" spans="1:20" x14ac:dyDescent="0.3">
      <c r="A65">
        <v>5.3</v>
      </c>
      <c r="B65" s="2">
        <f t="shared" si="5"/>
        <v>600.48011554640004</v>
      </c>
      <c r="C65">
        <f t="shared" si="6"/>
        <v>600.48</v>
      </c>
      <c r="H65">
        <v>4.1500000000000004</v>
      </c>
      <c r="I65">
        <f t="shared" si="7"/>
        <v>632.80548944052498</v>
      </c>
      <c r="J65">
        <f t="shared" si="8"/>
        <v>632.80999999999995</v>
      </c>
      <c r="L65">
        <f t="shared" si="9"/>
        <v>631.61092365265563</v>
      </c>
      <c r="N65">
        <f t="shared" si="10"/>
        <v>1.194565787869351</v>
      </c>
      <c r="Q65">
        <v>-1.3</v>
      </c>
      <c r="R65">
        <f t="shared" si="0"/>
        <v>660.05753920451434</v>
      </c>
      <c r="S65">
        <f t="shared" si="11"/>
        <v>550.42380823808207</v>
      </c>
      <c r="T65">
        <f t="shared" si="11"/>
        <v>458.84010379978395</v>
      </c>
    </row>
    <row r="66" spans="1:20" x14ac:dyDescent="0.3">
      <c r="A66">
        <v>5.4</v>
      </c>
      <c r="B66" s="2">
        <f t="shared" si="5"/>
        <v>597.91754954240002</v>
      </c>
      <c r="C66">
        <f t="shared" si="6"/>
        <v>597.91999999999996</v>
      </c>
      <c r="H66">
        <v>4.2</v>
      </c>
      <c r="I66">
        <f t="shared" si="7"/>
        <v>631.28378431040005</v>
      </c>
      <c r="J66">
        <f t="shared" si="8"/>
        <v>631.28</v>
      </c>
      <c r="L66">
        <f t="shared" si="9"/>
        <v>630.09064673184002</v>
      </c>
      <c r="N66">
        <f t="shared" si="10"/>
        <v>1.1931375785600267</v>
      </c>
      <c r="Q66">
        <v>-1.4</v>
      </c>
      <c r="R66">
        <f t="shared" ref="R66:R120" si="12">$Q66*(0.000000000646*R$1^4-0.0000015648*R$1^3+0.0013882318*R$1^2-0.5311145615*R$1+74.3371688691)+R$1</f>
        <v>659.93581145101552</v>
      </c>
      <c r="S66">
        <f t="shared" si="11"/>
        <v>550.32948579485765</v>
      </c>
      <c r="T66">
        <f t="shared" si="11"/>
        <v>458.80165024592117</v>
      </c>
    </row>
    <row r="67" spans="1:20" x14ac:dyDescent="0.3">
      <c r="A67">
        <v>5.5</v>
      </c>
      <c r="B67" s="2">
        <f t="shared" si="5"/>
        <v>595.39194650000013</v>
      </c>
      <c r="C67">
        <f t="shared" si="6"/>
        <v>595.39</v>
      </c>
      <c r="H67">
        <v>4.25</v>
      </c>
      <c r="I67">
        <f t="shared" si="7"/>
        <v>629.77321845312508</v>
      </c>
      <c r="J67">
        <f t="shared" si="8"/>
        <v>629.77</v>
      </c>
      <c r="L67">
        <f t="shared" si="9"/>
        <v>628.58161989101563</v>
      </c>
      <c r="N67">
        <f t="shared" si="10"/>
        <v>1.1915985621094478</v>
      </c>
      <c r="Q67">
        <v>-1.5</v>
      </c>
      <c r="R67">
        <f t="shared" si="12"/>
        <v>659.81408369751659</v>
      </c>
      <c r="S67">
        <f t="shared" si="11"/>
        <v>550.23516335163322</v>
      </c>
      <c r="T67">
        <f t="shared" si="11"/>
        <v>458.76319669205839</v>
      </c>
    </row>
    <row r="68" spans="1:20" x14ac:dyDescent="0.3">
      <c r="A68">
        <v>5.6</v>
      </c>
      <c r="B68" s="2">
        <f t="shared" si="5"/>
        <v>592.90271229440009</v>
      </c>
      <c r="C68">
        <f t="shared" si="6"/>
        <v>592.9</v>
      </c>
      <c r="H68">
        <v>4.3</v>
      </c>
      <c r="I68">
        <f t="shared" si="7"/>
        <v>628.27370847440011</v>
      </c>
      <c r="J68">
        <f t="shared" si="8"/>
        <v>628.27</v>
      </c>
      <c r="L68">
        <f t="shared" si="9"/>
        <v>627.08375787589</v>
      </c>
      <c r="N68">
        <f t="shared" si="10"/>
        <v>1.1899505985101086</v>
      </c>
      <c r="Q68">
        <v>-1.6</v>
      </c>
      <c r="R68">
        <f t="shared" si="12"/>
        <v>659.69235594401766</v>
      </c>
      <c r="S68">
        <f t="shared" si="11"/>
        <v>550.14084090840868</v>
      </c>
      <c r="T68">
        <f t="shared" si="11"/>
        <v>458.72474313819561</v>
      </c>
    </row>
    <row r="69" spans="1:20" x14ac:dyDescent="0.3">
      <c r="A69">
        <v>5.7</v>
      </c>
      <c r="B69" s="2">
        <f t="shared" si="5"/>
        <v>590.44925876240006</v>
      </c>
      <c r="C69">
        <f t="shared" si="6"/>
        <v>590.45000000000005</v>
      </c>
      <c r="H69">
        <v>4.3499999999999996</v>
      </c>
      <c r="I69">
        <f t="shared" si="7"/>
        <v>626.78517135252503</v>
      </c>
      <c r="J69">
        <f t="shared" si="8"/>
        <v>626.79</v>
      </c>
      <c r="L69">
        <f t="shared" si="9"/>
        <v>625.59697581630564</v>
      </c>
      <c r="N69">
        <f t="shared" si="10"/>
        <v>1.1881955362193821</v>
      </c>
      <c r="Q69">
        <v>-1.7</v>
      </c>
      <c r="R69">
        <f t="shared" si="12"/>
        <v>659.57062819051885</v>
      </c>
      <c r="S69">
        <f t="shared" si="11"/>
        <v>550.04651846518425</v>
      </c>
      <c r="T69">
        <f t="shared" si="11"/>
        <v>458.68628958433288</v>
      </c>
    </row>
    <row r="70" spans="1:20" x14ac:dyDescent="0.3">
      <c r="A70">
        <v>5.8</v>
      </c>
      <c r="B70" s="2">
        <f t="shared" si="5"/>
        <v>588.03100370240008</v>
      </c>
      <c r="C70">
        <f t="shared" si="6"/>
        <v>588.03</v>
      </c>
      <c r="H70">
        <v>4.4000000000000004</v>
      </c>
      <c r="I70">
        <f t="shared" si="7"/>
        <v>625.30752443840004</v>
      </c>
      <c r="J70">
        <f t="shared" si="8"/>
        <v>625.30999999999995</v>
      </c>
      <c r="L70">
        <f t="shared" si="9"/>
        <v>624.12118922623995</v>
      </c>
      <c r="N70">
        <f t="shared" si="10"/>
        <v>1.1863352121600883</v>
      </c>
      <c r="Q70">
        <v>-1.8</v>
      </c>
      <c r="R70">
        <f t="shared" si="12"/>
        <v>659.44890043701992</v>
      </c>
      <c r="S70">
        <f t="shared" si="11"/>
        <v>549.95219602195982</v>
      </c>
      <c r="T70">
        <f t="shared" si="11"/>
        <v>458.6478360304701</v>
      </c>
    </row>
    <row r="71" spans="1:20" x14ac:dyDescent="0.3">
      <c r="A71">
        <v>5.9</v>
      </c>
      <c r="B71" s="2">
        <f t="shared" si="5"/>
        <v>585.64737087440005</v>
      </c>
      <c r="C71">
        <f t="shared" si="6"/>
        <v>585.65</v>
      </c>
      <c r="H71">
        <v>4.4499999999999904</v>
      </c>
      <c r="I71">
        <f t="shared" si="7"/>
        <v>623.84068545552532</v>
      </c>
      <c r="J71">
        <f t="shared" si="8"/>
        <v>623.84</v>
      </c>
      <c r="L71">
        <f t="shared" si="9"/>
        <v>622.65631400380585</v>
      </c>
      <c r="N71">
        <f t="shared" si="10"/>
        <v>1.1843714517194712</v>
      </c>
      <c r="Q71">
        <v>-1.9</v>
      </c>
      <c r="R71">
        <f t="shared" si="12"/>
        <v>659.32717268352098</v>
      </c>
      <c r="S71">
        <f t="shared" si="11"/>
        <v>549.85787357873539</v>
      </c>
      <c r="T71">
        <f t="shared" si="11"/>
        <v>458.60938247660732</v>
      </c>
    </row>
    <row r="72" spans="1:20" x14ac:dyDescent="0.3">
      <c r="A72">
        <v>6</v>
      </c>
      <c r="B72" s="2">
        <f t="shared" si="5"/>
        <v>583.29779000000008</v>
      </c>
      <c r="C72">
        <f t="shared" si="6"/>
        <v>583.29999999999995</v>
      </c>
      <c r="H72">
        <v>4.4999999999999902</v>
      </c>
      <c r="I72">
        <f t="shared" si="7"/>
        <v>622.38457250000033</v>
      </c>
      <c r="J72">
        <f t="shared" si="8"/>
        <v>622.38</v>
      </c>
      <c r="L72">
        <f t="shared" si="9"/>
        <v>621.20226643125034</v>
      </c>
      <c r="N72">
        <f t="shared" si="10"/>
        <v>1.1823060687499947</v>
      </c>
      <c r="Q72">
        <v>-2</v>
      </c>
      <c r="R72">
        <f t="shared" si="12"/>
        <v>659.20544493002217</v>
      </c>
      <c r="S72">
        <f t="shared" si="11"/>
        <v>549.76355113551085</v>
      </c>
      <c r="T72">
        <f t="shared" si="11"/>
        <v>458.57092892274454</v>
      </c>
    </row>
    <row r="73" spans="1:20" x14ac:dyDescent="0.3">
      <c r="A73">
        <v>6.1</v>
      </c>
      <c r="B73" s="2">
        <f t="shared" si="5"/>
        <v>580.98169676240002</v>
      </c>
      <c r="C73">
        <f t="shared" si="6"/>
        <v>580.98</v>
      </c>
      <c r="H73">
        <v>4.5499999999999901</v>
      </c>
      <c r="I73">
        <f t="shared" si="7"/>
        <v>620.93910404052531</v>
      </c>
      <c r="J73">
        <f t="shared" si="8"/>
        <v>620.94000000000005</v>
      </c>
      <c r="L73">
        <f t="shared" si="9"/>
        <v>619.75896317495585</v>
      </c>
      <c r="N73">
        <f t="shared" si="10"/>
        <v>1.1801408655694559</v>
      </c>
      <c r="Q73">
        <v>-2.1</v>
      </c>
      <c r="R73">
        <f t="shared" si="12"/>
        <v>659.08371717652324</v>
      </c>
      <c r="S73">
        <f t="shared" si="11"/>
        <v>549.66922869228642</v>
      </c>
      <c r="T73">
        <f t="shared" si="11"/>
        <v>458.53247536888176</v>
      </c>
    </row>
    <row r="74" spans="1:20" x14ac:dyDescent="0.3">
      <c r="A74">
        <v>6.2</v>
      </c>
      <c r="B74" s="2">
        <f t="shared" si="5"/>
        <v>578.69853280639995</v>
      </c>
      <c r="C74">
        <f t="shared" si="6"/>
        <v>578.70000000000005</v>
      </c>
      <c r="H74">
        <v>4.5999999999999899</v>
      </c>
      <c r="I74">
        <f t="shared" si="7"/>
        <v>619.50419891840033</v>
      </c>
      <c r="J74">
        <f t="shared" si="8"/>
        <v>619.5</v>
      </c>
      <c r="L74">
        <f t="shared" si="9"/>
        <v>618.32632128544037</v>
      </c>
      <c r="N74">
        <f t="shared" si="10"/>
        <v>1.1778776329599623</v>
      </c>
      <c r="Q74">
        <v>-2.2000000000000002</v>
      </c>
      <c r="R74">
        <f t="shared" si="12"/>
        <v>658.96198942302431</v>
      </c>
      <c r="S74" s="3">
        <f t="shared" si="11"/>
        <v>549.574906249062</v>
      </c>
      <c r="T74">
        <f t="shared" si="11"/>
        <v>458.49402181501898</v>
      </c>
    </row>
    <row r="75" spans="1:20" x14ac:dyDescent="0.3">
      <c r="A75">
        <v>6.3</v>
      </c>
      <c r="B75" s="2">
        <f t="shared" si="5"/>
        <v>576.44774573840004</v>
      </c>
      <c r="C75">
        <f t="shared" si="6"/>
        <v>576.45000000000005</v>
      </c>
      <c r="H75">
        <v>4.6499999999999897</v>
      </c>
      <c r="I75">
        <f t="shared" si="7"/>
        <v>618.07977634752535</v>
      </c>
      <c r="J75">
        <f t="shared" si="8"/>
        <v>618.08000000000004</v>
      </c>
      <c r="L75">
        <f t="shared" si="9"/>
        <v>616.90425819735594</v>
      </c>
      <c r="N75">
        <f t="shared" si="10"/>
        <v>1.1755181501694096</v>
      </c>
      <c r="Q75">
        <v>-2.2999999999999998</v>
      </c>
      <c r="R75">
        <f t="shared" si="12"/>
        <v>658.84026166952538</v>
      </c>
      <c r="S75">
        <f t="shared" si="11"/>
        <v>549.48058380583757</v>
      </c>
      <c r="T75">
        <f t="shared" si="11"/>
        <v>458.4555682611562</v>
      </c>
    </row>
    <row r="76" spans="1:20" x14ac:dyDescent="0.3">
      <c r="A76">
        <v>6.4</v>
      </c>
      <c r="B76" s="2">
        <f t="shared" si="5"/>
        <v>574.22878912639999</v>
      </c>
      <c r="C76">
        <f t="shared" si="6"/>
        <v>574.23</v>
      </c>
      <c r="H76">
        <v>4.6999999999999904</v>
      </c>
      <c r="I76">
        <f t="shared" si="7"/>
        <v>616.66575591440028</v>
      </c>
      <c r="J76">
        <f t="shared" si="8"/>
        <v>616.66999999999996</v>
      </c>
      <c r="L76">
        <f t="shared" si="9"/>
        <v>615.49269172949028</v>
      </c>
      <c r="N76">
        <f t="shared" si="10"/>
        <v>1.1730641849100039</v>
      </c>
      <c r="Q76">
        <v>-2.4</v>
      </c>
      <c r="R76">
        <f t="shared" si="12"/>
        <v>658.71853391602656</v>
      </c>
      <c r="S76">
        <f t="shared" si="11"/>
        <v>549.38626136261314</v>
      </c>
      <c r="T76">
        <f t="shared" si="11"/>
        <v>458.41711470729348</v>
      </c>
    </row>
    <row r="77" spans="1:20" x14ac:dyDescent="0.3">
      <c r="A77">
        <v>6.5</v>
      </c>
      <c r="B77" s="2">
        <f t="shared" si="5"/>
        <v>572.04112250000003</v>
      </c>
      <c r="C77">
        <f t="shared" si="6"/>
        <v>572.04</v>
      </c>
      <c r="H77">
        <v>4.7499999999999902</v>
      </c>
      <c r="I77">
        <f t="shared" si="7"/>
        <v>615.26205757812534</v>
      </c>
      <c r="J77">
        <f t="shared" si="8"/>
        <v>615.26</v>
      </c>
      <c r="L77">
        <f t="shared" si="9"/>
        <v>614.09154008476594</v>
      </c>
      <c r="N77">
        <f t="shared" si="10"/>
        <v>1.170517493359398</v>
      </c>
      <c r="Q77">
        <v>-2.5</v>
      </c>
      <c r="R77">
        <f t="shared" si="12"/>
        <v>658.59680616252763</v>
      </c>
      <c r="S77">
        <f t="shared" si="11"/>
        <v>549.2919389193886</v>
      </c>
      <c r="T77">
        <f t="shared" si="11"/>
        <v>458.3786611534307</v>
      </c>
    </row>
    <row r="78" spans="1:20" x14ac:dyDescent="0.3">
      <c r="A78">
        <v>6.6</v>
      </c>
      <c r="B78" s="2">
        <f t="shared" si="5"/>
        <v>569.88421135040005</v>
      </c>
      <c r="C78">
        <f t="shared" si="6"/>
        <v>569.88</v>
      </c>
      <c r="H78">
        <v>4.7999999999999901</v>
      </c>
      <c r="I78">
        <f t="shared" si="7"/>
        <v>613.86860167040027</v>
      </c>
      <c r="J78">
        <f t="shared" si="8"/>
        <v>613.87</v>
      </c>
      <c r="L78">
        <f t="shared" si="9"/>
        <v>612.70072185024026</v>
      </c>
      <c r="N78">
        <f t="shared" si="10"/>
        <v>1.1678798201600102</v>
      </c>
      <c r="Q78">
        <v>-2.6</v>
      </c>
      <c r="R78">
        <f t="shared" si="12"/>
        <v>658.4750784090287</v>
      </c>
      <c r="S78">
        <f t="shared" si="11"/>
        <v>549.19761647616417</v>
      </c>
      <c r="T78">
        <f t="shared" si="11"/>
        <v>458.34020759956792</v>
      </c>
    </row>
    <row r="79" spans="1:20" x14ac:dyDescent="0.3">
      <c r="A79">
        <v>6.7</v>
      </c>
      <c r="B79" s="2">
        <f t="shared" si="5"/>
        <v>567.75752713040004</v>
      </c>
      <c r="C79">
        <f t="shared" si="6"/>
        <v>567.76</v>
      </c>
      <c r="H79">
        <v>4.8499999999999899</v>
      </c>
      <c r="I79">
        <f t="shared" si="7"/>
        <v>612.48530889552535</v>
      </c>
      <c r="J79">
        <f t="shared" si="8"/>
        <v>612.49</v>
      </c>
      <c r="L79">
        <f t="shared" si="9"/>
        <v>611.32015599710599</v>
      </c>
      <c r="N79">
        <f t="shared" si="10"/>
        <v>1.1651528984193646</v>
      </c>
      <c r="Q79">
        <v>-2.7</v>
      </c>
      <c r="R79">
        <f t="shared" si="12"/>
        <v>658.35335065552988</v>
      </c>
      <c r="S79">
        <f t="shared" si="11"/>
        <v>549.10329403293974</v>
      </c>
      <c r="T79">
        <f t="shared" si="11"/>
        <v>458.30175404570514</v>
      </c>
    </row>
    <row r="80" spans="1:20" x14ac:dyDescent="0.3">
      <c r="A80">
        <v>6.8</v>
      </c>
      <c r="B80" s="2">
        <f t="shared" si="5"/>
        <v>565.66054725440006</v>
      </c>
      <c r="C80">
        <f t="shared" si="6"/>
        <v>565.66</v>
      </c>
      <c r="H80">
        <v>4.8999999999999897</v>
      </c>
      <c r="I80">
        <f t="shared" si="7"/>
        <v>611.11210033040038</v>
      </c>
      <c r="J80">
        <f t="shared" si="8"/>
        <v>611.11</v>
      </c>
      <c r="L80">
        <f t="shared" si="9"/>
        <v>609.94976188069029</v>
      </c>
      <c r="N80">
        <f t="shared" si="10"/>
        <v>1.1623384497100915</v>
      </c>
      <c r="Q80">
        <v>-2.8</v>
      </c>
      <c r="R80">
        <f t="shared" si="12"/>
        <v>658.23162290203095</v>
      </c>
      <c r="S80">
        <f t="shared" si="11"/>
        <v>549.00897158971532</v>
      </c>
      <c r="T80">
        <f t="shared" si="11"/>
        <v>458.26330049184236</v>
      </c>
    </row>
    <row r="81" spans="1:20" x14ac:dyDescent="0.3">
      <c r="A81">
        <v>6.9</v>
      </c>
      <c r="B81" s="2">
        <f t="shared" si="5"/>
        <v>563.59275509839995</v>
      </c>
      <c r="C81">
        <f t="shared" si="6"/>
        <v>563.59</v>
      </c>
      <c r="H81">
        <v>4.9499999999999904</v>
      </c>
      <c r="I81">
        <f t="shared" si="7"/>
        <v>609.74889742452524</v>
      </c>
      <c r="J81">
        <f t="shared" si="8"/>
        <v>609.75</v>
      </c>
      <c r="L81">
        <f t="shared" si="9"/>
        <v>608.58945924045588</v>
      </c>
      <c r="N81">
        <f t="shared" si="10"/>
        <v>1.1594381840693586</v>
      </c>
      <c r="Q81">
        <v>-2.9</v>
      </c>
      <c r="R81">
        <f t="shared" si="12"/>
        <v>658.10989514853202</v>
      </c>
      <c r="S81">
        <f t="shared" si="11"/>
        <v>548.91464914649077</v>
      </c>
      <c r="T81">
        <f t="shared" si="11"/>
        <v>458.22484693797958</v>
      </c>
    </row>
    <row r="82" spans="1:20" x14ac:dyDescent="0.3">
      <c r="A82">
        <v>7</v>
      </c>
      <c r="B82" s="2">
        <f t="shared" si="5"/>
        <v>561.55364000000009</v>
      </c>
      <c r="C82">
        <f t="shared" si="6"/>
        <v>561.54999999999995</v>
      </c>
      <c r="H82">
        <v>4.9999999999999902</v>
      </c>
      <c r="I82">
        <f t="shared" si="7"/>
        <v>608.39562200000023</v>
      </c>
      <c r="J82">
        <f t="shared" si="8"/>
        <v>608.4</v>
      </c>
      <c r="L82">
        <f t="shared" si="9"/>
        <v>607.23916820000022</v>
      </c>
      <c r="N82">
        <f t="shared" si="10"/>
        <v>1.1564538000000084</v>
      </c>
      <c r="Q82">
        <v>-3</v>
      </c>
      <c r="R82">
        <f t="shared" si="12"/>
        <v>657.9881673950332</v>
      </c>
      <c r="S82">
        <f t="shared" ref="S82:T101" si="13">$Q82*(0.000000000646*S$1^4-0.0000015648*S$1^3+0.0013882318*S$1^2-0.5311145615*S$1+74.3371688691)+S$1</f>
        <v>548.82032670326635</v>
      </c>
      <c r="T82">
        <f t="shared" si="13"/>
        <v>458.18639338411685</v>
      </c>
    </row>
    <row r="83" spans="1:20" x14ac:dyDescent="0.3">
      <c r="A83">
        <v>7.1</v>
      </c>
      <c r="B83" s="2">
        <f t="shared" si="5"/>
        <v>559.54269725840004</v>
      </c>
      <c r="C83">
        <f t="shared" si="6"/>
        <v>559.54</v>
      </c>
      <c r="H83">
        <v>5.0499999999999901</v>
      </c>
      <c r="I83">
        <f t="shared" si="7"/>
        <v>607.05219625152529</v>
      </c>
      <c r="J83">
        <f t="shared" si="8"/>
        <v>607.04999999999995</v>
      </c>
      <c r="L83">
        <f t="shared" si="9"/>
        <v>605.89880926705587</v>
      </c>
      <c r="N83">
        <f t="shared" si="10"/>
        <v>1.1533869844694209</v>
      </c>
      <c r="Q83">
        <v>-3.1</v>
      </c>
      <c r="R83">
        <f t="shared" si="12"/>
        <v>657.86643964153427</v>
      </c>
      <c r="S83">
        <f t="shared" si="13"/>
        <v>548.72600426004192</v>
      </c>
      <c r="T83">
        <f t="shared" si="13"/>
        <v>458.14793983025407</v>
      </c>
    </row>
    <row r="84" spans="1:20" x14ac:dyDescent="0.3">
      <c r="A84">
        <v>7.2</v>
      </c>
      <c r="B84" s="2">
        <f t="shared" si="5"/>
        <v>557.55942813440004</v>
      </c>
      <c r="C84">
        <f t="shared" si="6"/>
        <v>557.55999999999995</v>
      </c>
      <c r="H84">
        <v>5.0999999999999899</v>
      </c>
      <c r="I84">
        <f t="shared" si="7"/>
        <v>605.71854274640032</v>
      </c>
      <c r="J84">
        <f t="shared" si="8"/>
        <v>605.72</v>
      </c>
      <c r="L84">
        <f t="shared" si="9"/>
        <v>604.56830333349035</v>
      </c>
      <c r="N84">
        <f t="shared" si="10"/>
        <v>1.1502394129099685</v>
      </c>
      <c r="Q84">
        <v>-3.2</v>
      </c>
      <c r="R84">
        <f t="shared" si="12"/>
        <v>657.74471188803534</v>
      </c>
      <c r="S84">
        <f t="shared" si="13"/>
        <v>548.63168181681749</v>
      </c>
      <c r="T84">
        <f t="shared" si="13"/>
        <v>458.10948627639129</v>
      </c>
    </row>
    <row r="85" spans="1:20" x14ac:dyDescent="0.3">
      <c r="A85">
        <v>7.3</v>
      </c>
      <c r="B85" s="2">
        <f t="shared" si="5"/>
        <v>555.60333985040006</v>
      </c>
      <c r="C85">
        <f t="shared" si="6"/>
        <v>555.6</v>
      </c>
      <c r="H85">
        <v>5.1499999999999897</v>
      </c>
      <c r="I85">
        <f t="shared" si="7"/>
        <v>604.39458442452531</v>
      </c>
      <c r="J85">
        <f t="shared" si="8"/>
        <v>604.39</v>
      </c>
      <c r="L85">
        <f t="shared" si="9"/>
        <v>603.24757167530584</v>
      </c>
      <c r="N85">
        <f t="shared" si="10"/>
        <v>1.1470127492194706</v>
      </c>
      <c r="Q85">
        <v>-3.3</v>
      </c>
      <c r="R85">
        <f t="shared" si="12"/>
        <v>657.62298413453652</v>
      </c>
      <c r="S85">
        <f t="shared" si="13"/>
        <v>548.53735937359306</v>
      </c>
      <c r="T85">
        <f t="shared" si="13"/>
        <v>458.07103272252851</v>
      </c>
    </row>
    <row r="86" spans="1:20" x14ac:dyDescent="0.3">
      <c r="A86">
        <v>7.4</v>
      </c>
      <c r="B86" s="2">
        <f t="shared" si="5"/>
        <v>553.67394559040008</v>
      </c>
      <c r="C86">
        <f t="shared" si="6"/>
        <v>553.66999999999996</v>
      </c>
      <c r="H86">
        <v>5.1999999999999904</v>
      </c>
      <c r="I86">
        <f t="shared" si="7"/>
        <v>603.08024459840021</v>
      </c>
      <c r="J86">
        <f t="shared" si="8"/>
        <v>603.08000000000004</v>
      </c>
      <c r="L86">
        <f t="shared" si="9"/>
        <v>601.93653595264027</v>
      </c>
      <c r="N86">
        <f t="shared" si="10"/>
        <v>1.1437086457599435</v>
      </c>
      <c r="Q86">
        <v>-3.4</v>
      </c>
      <c r="R86">
        <f t="shared" si="12"/>
        <v>657.50125638103759</v>
      </c>
      <c r="S86">
        <f t="shared" si="13"/>
        <v>548.44303693036852</v>
      </c>
      <c r="T86">
        <f t="shared" si="13"/>
        <v>458.03257916866573</v>
      </c>
    </row>
    <row r="87" spans="1:20" x14ac:dyDescent="0.3">
      <c r="A87">
        <v>7.5</v>
      </c>
      <c r="B87" s="2">
        <f t="shared" si="5"/>
        <v>551.77076450000004</v>
      </c>
      <c r="C87">
        <f t="shared" si="6"/>
        <v>551.77</v>
      </c>
      <c r="H87">
        <v>5.2499999999999902</v>
      </c>
      <c r="I87">
        <f t="shared" si="7"/>
        <v>601.77544695312531</v>
      </c>
      <c r="J87">
        <f t="shared" si="8"/>
        <v>601.78</v>
      </c>
      <c r="L87">
        <f t="shared" si="9"/>
        <v>600.63511820976589</v>
      </c>
      <c r="N87">
        <f t="shared" si="10"/>
        <v>1.1403287433594187</v>
      </c>
      <c r="Q87">
        <v>-3.5</v>
      </c>
      <c r="R87">
        <f t="shared" si="12"/>
        <v>657.37952862753866</v>
      </c>
      <c r="S87">
        <f t="shared" si="13"/>
        <v>548.34871448714409</v>
      </c>
      <c r="T87">
        <f t="shared" si="13"/>
        <v>457.99412561480295</v>
      </c>
    </row>
    <row r="88" spans="1:20" x14ac:dyDescent="0.3">
      <c r="A88">
        <v>7.6</v>
      </c>
      <c r="B88" s="2">
        <f t="shared" si="5"/>
        <v>549.8933216864001</v>
      </c>
      <c r="C88">
        <f t="shared" si="6"/>
        <v>549.89</v>
      </c>
      <c r="H88">
        <v>5.2999999999999901</v>
      </c>
      <c r="I88">
        <f t="shared" si="7"/>
        <v>600.48011554640027</v>
      </c>
      <c r="J88">
        <f t="shared" si="8"/>
        <v>600.48</v>
      </c>
      <c r="L88">
        <f t="shared" si="9"/>
        <v>599.34324087509026</v>
      </c>
      <c r="N88">
        <f t="shared" si="10"/>
        <v>1.1368746713100109</v>
      </c>
      <c r="Q88">
        <v>-3.6</v>
      </c>
      <c r="R88">
        <f t="shared" si="12"/>
        <v>657.25780087403984</v>
      </c>
      <c r="S88">
        <f t="shared" si="13"/>
        <v>548.25439204391967</v>
      </c>
      <c r="T88">
        <f t="shared" si="13"/>
        <v>457.95567206094017</v>
      </c>
    </row>
    <row r="89" spans="1:20" x14ac:dyDescent="0.3">
      <c r="A89">
        <v>7.7</v>
      </c>
      <c r="B89" s="2">
        <f t="shared" si="5"/>
        <v>548.04114821840005</v>
      </c>
      <c r="C89">
        <f t="shared" si="6"/>
        <v>548.04</v>
      </c>
      <c r="H89">
        <v>5.3499999999999899</v>
      </c>
      <c r="I89">
        <f t="shared" si="7"/>
        <v>599.1941748085253</v>
      </c>
      <c r="J89">
        <f t="shared" si="8"/>
        <v>599.19000000000005</v>
      </c>
      <c r="L89">
        <f t="shared" si="9"/>
        <v>598.06082676115591</v>
      </c>
      <c r="N89">
        <f t="shared" si="10"/>
        <v>1.1333480473693953</v>
      </c>
      <c r="Q89">
        <v>-3.7</v>
      </c>
      <c r="R89">
        <f t="shared" si="12"/>
        <v>657.13607312054091</v>
      </c>
      <c r="S89">
        <f t="shared" si="13"/>
        <v>548.16006960069524</v>
      </c>
      <c r="T89" s="3">
        <f t="shared" si="13"/>
        <v>457.91721850707745</v>
      </c>
    </row>
    <row r="90" spans="1:20" x14ac:dyDescent="0.3">
      <c r="A90">
        <v>7.8</v>
      </c>
      <c r="B90" s="2">
        <f t="shared" si="5"/>
        <v>546.21378112640002</v>
      </c>
      <c r="C90">
        <f t="shared" si="6"/>
        <v>546.21</v>
      </c>
      <c r="H90">
        <v>5.3999999999999897</v>
      </c>
      <c r="I90">
        <f t="shared" si="7"/>
        <v>597.91754954240025</v>
      </c>
      <c r="J90">
        <f t="shared" si="8"/>
        <v>597.91999999999996</v>
      </c>
      <c r="L90">
        <f t="shared" si="9"/>
        <v>596.78779906464024</v>
      </c>
      <c r="N90">
        <f t="shared" si="10"/>
        <v>1.1297504777600125</v>
      </c>
      <c r="Q90">
        <v>-3.8</v>
      </c>
      <c r="R90">
        <f t="shared" si="12"/>
        <v>657.01434536704198</v>
      </c>
      <c r="S90">
        <f t="shared" si="13"/>
        <v>548.0657471574707</v>
      </c>
      <c r="T90">
        <f t="shared" si="13"/>
        <v>457.87876495321467</v>
      </c>
    </row>
    <row r="91" spans="1:20" x14ac:dyDescent="0.3">
      <c r="A91">
        <v>7.9</v>
      </c>
      <c r="B91" s="2">
        <f t="shared" si="5"/>
        <v>544.41076340239999</v>
      </c>
      <c r="C91">
        <f t="shared" si="6"/>
        <v>544.41</v>
      </c>
      <c r="H91">
        <v>5.4499999999999904</v>
      </c>
      <c r="I91">
        <f t="shared" si="7"/>
        <v>596.65016492352527</v>
      </c>
      <c r="J91">
        <f t="shared" si="8"/>
        <v>596.65</v>
      </c>
      <c r="L91">
        <f t="shared" si="9"/>
        <v>595.52408136635586</v>
      </c>
      <c r="N91">
        <f t="shared" si="10"/>
        <v>1.1260835571694088</v>
      </c>
      <c r="Q91">
        <v>-3.9</v>
      </c>
      <c r="R91">
        <f t="shared" si="12"/>
        <v>656.89261761354317</v>
      </c>
      <c r="S91">
        <f t="shared" si="13"/>
        <v>547.97142471424627</v>
      </c>
      <c r="T91">
        <f t="shared" si="13"/>
        <v>457.84031139935189</v>
      </c>
    </row>
    <row r="92" spans="1:20" x14ac:dyDescent="0.3">
      <c r="A92">
        <v>8</v>
      </c>
      <c r="B92" s="2">
        <f t="shared" si="5"/>
        <v>542.63164400000005</v>
      </c>
      <c r="C92">
        <f t="shared" si="6"/>
        <v>542.63</v>
      </c>
      <c r="H92">
        <v>5.4999999999999902</v>
      </c>
      <c r="I92">
        <f t="shared" si="7"/>
        <v>595.39194650000024</v>
      </c>
      <c r="J92">
        <f t="shared" si="8"/>
        <v>595.39</v>
      </c>
      <c r="L92">
        <f t="shared" si="9"/>
        <v>594.26959763125024</v>
      </c>
      <c r="N92">
        <f t="shared" si="10"/>
        <v>1.1223488687500094</v>
      </c>
      <c r="Q92">
        <v>-4</v>
      </c>
      <c r="R92">
        <f t="shared" si="12"/>
        <v>656.77088986004424</v>
      </c>
      <c r="S92">
        <f t="shared" si="13"/>
        <v>547.87710227102184</v>
      </c>
      <c r="T92">
        <f t="shared" si="13"/>
        <v>457.80185784548911</v>
      </c>
    </row>
    <row r="93" spans="1:20" x14ac:dyDescent="0.3">
      <c r="A93">
        <v>8.1</v>
      </c>
      <c r="B93" s="2">
        <f t="shared" si="5"/>
        <v>540.87597783440003</v>
      </c>
      <c r="C93">
        <f t="shared" si="6"/>
        <v>540.88</v>
      </c>
      <c r="H93">
        <v>5.5499999999999901</v>
      </c>
      <c r="I93">
        <f t="shared" si="7"/>
        <v>594.14282019252528</v>
      </c>
      <c r="J93">
        <f t="shared" si="8"/>
        <v>594.14</v>
      </c>
      <c r="L93">
        <f t="shared" si="9"/>
        <v>593.02427220840582</v>
      </c>
      <c r="N93">
        <f t="shared" si="10"/>
        <v>1.1185479841194592</v>
      </c>
      <c r="Q93">
        <v>-4.0999999999999996</v>
      </c>
      <c r="R93">
        <f t="shared" si="12"/>
        <v>656.6491621065453</v>
      </c>
      <c r="S93">
        <f t="shared" si="13"/>
        <v>547.78277982779741</v>
      </c>
      <c r="T93">
        <f t="shared" si="13"/>
        <v>457.76340429162633</v>
      </c>
    </row>
    <row r="94" spans="1:20" x14ac:dyDescent="0.3">
      <c r="A94">
        <v>8.1999999999999993</v>
      </c>
      <c r="B94" s="2">
        <f t="shared" si="5"/>
        <v>539.1433257824001</v>
      </c>
      <c r="C94">
        <f t="shared" si="6"/>
        <v>539.14</v>
      </c>
      <c r="H94">
        <v>5.5999999999999899</v>
      </c>
      <c r="I94">
        <f t="shared" si="7"/>
        <v>592.90271229440032</v>
      </c>
      <c r="J94">
        <f t="shared" si="8"/>
        <v>592.9</v>
      </c>
      <c r="L94">
        <f t="shared" si="9"/>
        <v>591.78802983104026</v>
      </c>
      <c r="N94">
        <f t="shared" si="10"/>
        <v>1.1146824633600545</v>
      </c>
      <c r="Q94">
        <v>-4.1999999999999904</v>
      </c>
      <c r="R94">
        <f t="shared" si="12"/>
        <v>656.52743435304649</v>
      </c>
      <c r="S94">
        <f t="shared" si="13"/>
        <v>547.68845738457298</v>
      </c>
      <c r="T94">
        <f t="shared" si="13"/>
        <v>457.72495073776355</v>
      </c>
    </row>
    <row r="95" spans="1:20" x14ac:dyDescent="0.3">
      <c r="A95">
        <v>8.3000000000000007</v>
      </c>
      <c r="B95" s="2">
        <f t="shared" si="5"/>
        <v>537.43325468240005</v>
      </c>
      <c r="C95">
        <f t="shared" si="6"/>
        <v>537.42999999999995</v>
      </c>
      <c r="H95">
        <v>5.6499999999999897</v>
      </c>
      <c r="I95">
        <f t="shared" si="7"/>
        <v>591.67154947152528</v>
      </c>
      <c r="J95">
        <f t="shared" si="8"/>
        <v>591.66999999999996</v>
      </c>
      <c r="L95">
        <f t="shared" si="9"/>
        <v>590.56079561650586</v>
      </c>
      <c r="N95">
        <f t="shared" si="10"/>
        <v>1.1107538550194249</v>
      </c>
      <c r="Q95">
        <v>-4.2999999999999901</v>
      </c>
      <c r="R95">
        <f t="shared" si="12"/>
        <v>656.40570659954756</v>
      </c>
      <c r="S95">
        <f t="shared" si="13"/>
        <v>547.59413494134844</v>
      </c>
      <c r="T95">
        <f t="shared" si="13"/>
        <v>457.68649718390083</v>
      </c>
    </row>
    <row r="96" spans="1:20" x14ac:dyDescent="0.3">
      <c r="A96">
        <v>8.4</v>
      </c>
      <c r="B96" s="2">
        <f t="shared" si="5"/>
        <v>535.74533733440001</v>
      </c>
      <c r="C96">
        <f t="shared" si="6"/>
        <v>535.75</v>
      </c>
      <c r="H96">
        <v>5.6999999999999904</v>
      </c>
      <c r="I96">
        <f t="shared" si="7"/>
        <v>590.44925876240029</v>
      </c>
      <c r="J96">
        <f t="shared" si="8"/>
        <v>590.45000000000005</v>
      </c>
      <c r="L96">
        <f t="shared" si="9"/>
        <v>589.34249506629021</v>
      </c>
      <c r="N96">
        <f t="shared" si="10"/>
        <v>1.1067636961100789</v>
      </c>
      <c r="Q96">
        <v>-4.3999999999999897</v>
      </c>
      <c r="R96">
        <f t="shared" si="12"/>
        <v>656.28397884604863</v>
      </c>
      <c r="S96">
        <f t="shared" si="13"/>
        <v>547.49981249812402</v>
      </c>
      <c r="T96">
        <f t="shared" si="13"/>
        <v>457.64804363003805</v>
      </c>
    </row>
    <row r="97" spans="1:20" x14ac:dyDescent="0.3">
      <c r="A97">
        <v>8.5000000000000107</v>
      </c>
      <c r="B97" s="2">
        <f t="shared" si="5"/>
        <v>534.07915249999974</v>
      </c>
      <c r="C97">
        <f t="shared" si="6"/>
        <v>534.08000000000004</v>
      </c>
      <c r="H97">
        <v>5.7499999999999902</v>
      </c>
      <c r="I97">
        <f t="shared" si="7"/>
        <v>589.23576757812532</v>
      </c>
      <c r="J97">
        <f t="shared" si="8"/>
        <v>589.24</v>
      </c>
      <c r="L97">
        <f t="shared" si="9"/>
        <v>588.13305406601592</v>
      </c>
      <c r="N97">
        <f t="shared" si="10"/>
        <v>1.1027135121094034</v>
      </c>
      <c r="Q97">
        <v>-4.4999999999999902</v>
      </c>
      <c r="R97">
        <f t="shared" si="12"/>
        <v>656.16225109254981</v>
      </c>
      <c r="S97">
        <f t="shared" si="13"/>
        <v>547.40549005489959</v>
      </c>
      <c r="T97">
        <f t="shared" si="13"/>
        <v>457.60959007617527</v>
      </c>
    </row>
    <row r="98" spans="1:20" x14ac:dyDescent="0.3">
      <c r="A98">
        <v>8.6</v>
      </c>
      <c r="B98" s="2">
        <f t="shared" si="5"/>
        <v>532.43428490240012</v>
      </c>
      <c r="C98">
        <f t="shared" si="6"/>
        <v>532.42999999999995</v>
      </c>
      <c r="H98">
        <v>5.7999999999999901</v>
      </c>
      <c r="I98">
        <f t="shared" si="7"/>
        <v>588.03100370240031</v>
      </c>
      <c r="J98">
        <f t="shared" si="8"/>
        <v>588.03</v>
      </c>
      <c r="L98">
        <f t="shared" si="9"/>
        <v>586.93239888544031</v>
      </c>
      <c r="N98">
        <f t="shared" si="10"/>
        <v>1.0986048169600053</v>
      </c>
      <c r="Q98">
        <v>-4.5999999999999899</v>
      </c>
      <c r="R98">
        <f t="shared" si="12"/>
        <v>656.04052333905088</v>
      </c>
      <c r="S98">
        <f t="shared" si="13"/>
        <v>547.31116761167516</v>
      </c>
      <c r="T98">
        <f t="shared" si="13"/>
        <v>457.57113652231249</v>
      </c>
    </row>
    <row r="99" spans="1:20" x14ac:dyDescent="0.3">
      <c r="A99">
        <v>8.6999999999999993</v>
      </c>
      <c r="B99" s="2">
        <f t="shared" si="5"/>
        <v>530.81032522639998</v>
      </c>
      <c r="C99">
        <f t="shared" si="6"/>
        <v>530.80999999999995</v>
      </c>
      <c r="H99">
        <v>5.8499999999999899</v>
      </c>
      <c r="I99">
        <f t="shared" si="7"/>
        <v>586.8348952915253</v>
      </c>
      <c r="J99">
        <f t="shared" si="8"/>
        <v>586.83000000000004</v>
      </c>
      <c r="L99">
        <f t="shared" si="9"/>
        <v>585.74045617845593</v>
      </c>
      <c r="N99">
        <f t="shared" si="10"/>
        <v>1.0944391130693703</v>
      </c>
      <c r="Q99">
        <v>-4.6999999999999904</v>
      </c>
      <c r="R99">
        <f t="shared" si="12"/>
        <v>655.91879558555195</v>
      </c>
      <c r="S99">
        <f t="shared" si="13"/>
        <v>547.21684516845073</v>
      </c>
      <c r="T99">
        <f t="shared" si="13"/>
        <v>457.53268296844971</v>
      </c>
    </row>
    <row r="100" spans="1:20" x14ac:dyDescent="0.3">
      <c r="A100">
        <v>8.8000000000000096</v>
      </c>
      <c r="B100" s="2">
        <f t="shared" si="5"/>
        <v>529.20687011839982</v>
      </c>
      <c r="C100">
        <f t="shared" si="6"/>
        <v>529.21</v>
      </c>
      <c r="H100">
        <v>5.8999999999999897</v>
      </c>
      <c r="I100">
        <f t="shared" si="7"/>
        <v>585.64737087440028</v>
      </c>
      <c r="J100">
        <f t="shared" si="8"/>
        <v>585.65</v>
      </c>
      <c r="L100">
        <f t="shared" si="9"/>
        <v>584.55715298309019</v>
      </c>
      <c r="N100">
        <f t="shared" si="10"/>
        <v>1.0902178913100897</v>
      </c>
      <c r="Q100">
        <v>-4.7999999999999901</v>
      </c>
      <c r="R100">
        <f t="shared" si="12"/>
        <v>655.79706783205313</v>
      </c>
      <c r="S100">
        <f t="shared" si="13"/>
        <v>547.12252272522619</v>
      </c>
      <c r="T100">
        <f t="shared" si="13"/>
        <v>457.49422941458693</v>
      </c>
    </row>
    <row r="101" spans="1:20" x14ac:dyDescent="0.3">
      <c r="A101">
        <v>8.9000000000000092</v>
      </c>
      <c r="B101" s="2">
        <f t="shared" si="5"/>
        <v>527.6235221863999</v>
      </c>
      <c r="C101">
        <f t="shared" si="6"/>
        <v>527.62</v>
      </c>
      <c r="H101">
        <v>5.9499999999999904</v>
      </c>
      <c r="I101">
        <f t="shared" si="7"/>
        <v>584.46835935252534</v>
      </c>
      <c r="J101">
        <f t="shared" si="8"/>
        <v>584.47</v>
      </c>
      <c r="L101">
        <f t="shared" si="9"/>
        <v>583.38241672150593</v>
      </c>
      <c r="N101">
        <f t="shared" si="10"/>
        <v>1.0859426310194067</v>
      </c>
      <c r="Q101">
        <v>-4.8999999999999897</v>
      </c>
      <c r="R101">
        <f t="shared" si="12"/>
        <v>655.6753400785542</v>
      </c>
      <c r="S101">
        <f t="shared" si="13"/>
        <v>547.02820028200176</v>
      </c>
      <c r="T101">
        <f t="shared" si="13"/>
        <v>457.45577586072415</v>
      </c>
    </row>
    <row r="102" spans="1:20" x14ac:dyDescent="0.3">
      <c r="A102">
        <v>9.0000000000000107</v>
      </c>
      <c r="B102" s="2">
        <f t="shared" si="5"/>
        <v>526.05988999999988</v>
      </c>
      <c r="C102">
        <f t="shared" si="6"/>
        <v>526.05999999999995</v>
      </c>
      <c r="H102">
        <v>5.9999999999999902</v>
      </c>
      <c r="I102">
        <f t="shared" si="7"/>
        <v>583.2977900000003</v>
      </c>
      <c r="J102">
        <f t="shared" si="8"/>
        <v>583.29999999999995</v>
      </c>
      <c r="L102">
        <f t="shared" si="9"/>
        <v>582.21617520000018</v>
      </c>
      <c r="N102">
        <f t="shared" si="10"/>
        <v>1.0816148000001249</v>
      </c>
      <c r="Q102">
        <v>-4.9999999999999902</v>
      </c>
      <c r="R102">
        <f t="shared" si="12"/>
        <v>655.55361232505527</v>
      </c>
      <c r="S102">
        <f t="shared" ref="S102:T120" si="14">$Q102*(0.000000000646*S$1^4-0.0000015648*S$1^3+0.0013882318*S$1^2-0.5311145615*S$1+74.3371688691)+S$1</f>
        <v>546.93387783877733</v>
      </c>
      <c r="T102">
        <f t="shared" si="14"/>
        <v>457.41732230686142</v>
      </c>
    </row>
    <row r="103" spans="1:20" x14ac:dyDescent="0.3">
      <c r="A103">
        <v>9.1</v>
      </c>
      <c r="B103" s="2">
        <f t="shared" si="5"/>
        <v>524.5155880904</v>
      </c>
      <c r="C103">
        <f t="shared" si="6"/>
        <v>524.52</v>
      </c>
      <c r="H103">
        <v>6.0499999999999901</v>
      </c>
      <c r="I103">
        <f t="shared" si="7"/>
        <v>582.13559246352531</v>
      </c>
      <c r="J103">
        <f t="shared" si="8"/>
        <v>582.14</v>
      </c>
      <c r="L103">
        <f t="shared" si="9"/>
        <v>581.05835660900584</v>
      </c>
      <c r="N103">
        <f t="shared" si="10"/>
        <v>1.077235854519472</v>
      </c>
      <c r="Q103">
        <v>-5.0999999999999899</v>
      </c>
      <c r="R103">
        <f t="shared" si="12"/>
        <v>655.43188457155645</v>
      </c>
      <c r="S103">
        <f t="shared" si="14"/>
        <v>546.83955539555291</v>
      </c>
      <c r="T103">
        <f t="shared" si="14"/>
        <v>457.37886875299864</v>
      </c>
    </row>
    <row r="104" spans="1:20" x14ac:dyDescent="0.3">
      <c r="A104">
        <v>9.2000000000000099</v>
      </c>
      <c r="B104" s="2">
        <f t="shared" si="5"/>
        <v>522.99023695039989</v>
      </c>
      <c r="C104">
        <f t="shared" si="6"/>
        <v>522.99</v>
      </c>
      <c r="H104">
        <v>6.0999999999999899</v>
      </c>
      <c r="I104">
        <f t="shared" si="7"/>
        <v>580.98169676240025</v>
      </c>
      <c r="J104">
        <f t="shared" si="8"/>
        <v>580.98</v>
      </c>
      <c r="L104">
        <f t="shared" si="9"/>
        <v>579.90888952309024</v>
      </c>
      <c r="N104">
        <f t="shared" si="10"/>
        <v>1.0728072393100092</v>
      </c>
      <c r="Q104">
        <v>-5.1999999999999904</v>
      </c>
      <c r="R104">
        <f t="shared" si="12"/>
        <v>655.31015681805752</v>
      </c>
      <c r="S104">
        <f t="shared" si="14"/>
        <v>546.74523295232837</v>
      </c>
      <c r="T104">
        <f t="shared" si="14"/>
        <v>457.34041519913586</v>
      </c>
    </row>
    <row r="105" spans="1:20" x14ac:dyDescent="0.3">
      <c r="A105">
        <v>9.3000000000000096</v>
      </c>
      <c r="B105" s="2">
        <f t="shared" si="5"/>
        <v>521.48346303439985</v>
      </c>
      <c r="C105">
        <f t="shared" si="6"/>
        <v>521.48</v>
      </c>
      <c r="H105">
        <v>6.1499999999999897</v>
      </c>
      <c r="I105">
        <f t="shared" si="7"/>
        <v>579.83603328852519</v>
      </c>
      <c r="J105">
        <f t="shared" si="8"/>
        <v>579.84</v>
      </c>
      <c r="L105">
        <f t="shared" si="9"/>
        <v>578.7677029009559</v>
      </c>
      <c r="N105">
        <f t="shared" si="10"/>
        <v>1.06833038756929</v>
      </c>
      <c r="Q105">
        <v>-5.2999999999999901</v>
      </c>
      <c r="R105">
        <f t="shared" si="12"/>
        <v>655.18842906455859</v>
      </c>
      <c r="S105">
        <f t="shared" si="14"/>
        <v>546.65091050910394</v>
      </c>
      <c r="T105">
        <f t="shared" si="14"/>
        <v>457.30196164527308</v>
      </c>
    </row>
    <row r="106" spans="1:20" x14ac:dyDescent="0.3">
      <c r="A106">
        <v>9.4000000000000092</v>
      </c>
      <c r="B106" s="2">
        <f t="shared" si="5"/>
        <v>519.99489875839993</v>
      </c>
      <c r="C106">
        <f t="shared" si="6"/>
        <v>519.99</v>
      </c>
      <c r="H106">
        <v>6.1999999999999904</v>
      </c>
      <c r="I106">
        <f t="shared" si="7"/>
        <v>578.69853280640018</v>
      </c>
      <c r="J106">
        <f t="shared" si="8"/>
        <v>578.70000000000005</v>
      </c>
      <c r="L106">
        <f t="shared" si="9"/>
        <v>577.63472608544021</v>
      </c>
      <c r="N106">
        <f t="shared" si="10"/>
        <v>1.063806720959974</v>
      </c>
      <c r="Q106">
        <v>-5.3999999999999897</v>
      </c>
      <c r="R106">
        <f t="shared" si="12"/>
        <v>655.06670131105977</v>
      </c>
      <c r="S106">
        <f t="shared" si="14"/>
        <v>546.55658806587951</v>
      </c>
      <c r="T106">
        <f t="shared" si="14"/>
        <v>457.2635080914103</v>
      </c>
    </row>
    <row r="107" spans="1:20" x14ac:dyDescent="0.3">
      <c r="A107">
        <v>9.5000000000000107</v>
      </c>
      <c r="B107" s="2">
        <f t="shared" ref="B107:B170" si="15" xml:space="preserve"> 0.002484*A107^4 - 0.153172*A107^3 + 3.894909*A107^2 - 55.669943*A107 + 806.966612</f>
        <v>518.52418249999982</v>
      </c>
      <c r="C107">
        <f t="shared" ref="C107:C170" si="16">ROUND(B107,2)</f>
        <v>518.52</v>
      </c>
      <c r="H107">
        <v>6.2499999999999902</v>
      </c>
      <c r="I107">
        <f t="shared" ref="I107:I170" si="17" xml:space="preserve"> 0.002484*H107^4 - 0.153172*H107^3 + 3.894909*H107^2 - 55.669943*H107 + 806.966612</f>
        <v>577.56912645312525</v>
      </c>
      <c r="J107">
        <f t="shared" ref="J107:J170" si="18">ROUND(I107,2)</f>
        <v>577.57000000000005</v>
      </c>
      <c r="L107">
        <f t="shared" ref="L107:L170" si="19">0.0025609*H107^4-0.1569516*H107^3+3.9565541*H107^2-55.9808564*H107+806.2479852</f>
        <v>576.50988880351588</v>
      </c>
      <c r="N107">
        <f t="shared" ref="N107:N170" si="20">I107-L107</f>
        <v>1.0592376496093721</v>
      </c>
      <c r="Q107">
        <v>-5.4999999999999902</v>
      </c>
      <c r="R107">
        <f t="shared" si="12"/>
        <v>654.94497355756084</v>
      </c>
      <c r="S107">
        <f t="shared" si="14"/>
        <v>546.46226562265508</v>
      </c>
      <c r="T107">
        <f t="shared" si="14"/>
        <v>457.22505453754752</v>
      </c>
    </row>
    <row r="108" spans="1:20" x14ac:dyDescent="0.3">
      <c r="A108">
        <v>9.6000000000000103</v>
      </c>
      <c r="B108" s="2">
        <f t="shared" si="15"/>
        <v>517.07095859840001</v>
      </c>
      <c r="C108">
        <f t="shared" si="16"/>
        <v>517.07000000000005</v>
      </c>
      <c r="H108">
        <v>6.2999999999999901</v>
      </c>
      <c r="I108">
        <f t="shared" si="17"/>
        <v>576.44774573840027</v>
      </c>
      <c r="J108">
        <f t="shared" si="18"/>
        <v>576.45000000000005</v>
      </c>
      <c r="L108">
        <f t="shared" si="19"/>
        <v>575.39312116629026</v>
      </c>
      <c r="N108">
        <f t="shared" si="20"/>
        <v>1.0546245721100149</v>
      </c>
      <c r="Q108">
        <v>-5.5999999999999899</v>
      </c>
      <c r="R108">
        <f t="shared" si="12"/>
        <v>654.82324580406191</v>
      </c>
      <c r="S108">
        <f t="shared" si="14"/>
        <v>546.36794317943054</v>
      </c>
      <c r="T108">
        <f t="shared" si="14"/>
        <v>457.18660098368474</v>
      </c>
    </row>
    <row r="109" spans="1:20" x14ac:dyDescent="0.3">
      <c r="A109">
        <v>9.7000000000000099</v>
      </c>
      <c r="B109" s="2">
        <f t="shared" si="15"/>
        <v>515.63487735439992</v>
      </c>
      <c r="C109">
        <f t="shared" si="16"/>
        <v>515.63</v>
      </c>
      <c r="H109">
        <v>6.3499999999999899</v>
      </c>
      <c r="I109">
        <f t="shared" si="17"/>
        <v>575.33432254452521</v>
      </c>
      <c r="J109">
        <f t="shared" si="18"/>
        <v>575.33000000000004</v>
      </c>
      <c r="L109">
        <f t="shared" si="19"/>
        <v>574.2843536690059</v>
      </c>
      <c r="N109">
        <f t="shared" si="20"/>
        <v>1.049968875519312</v>
      </c>
      <c r="Q109">
        <v>-5.6999999999999904</v>
      </c>
      <c r="R109">
        <f t="shared" si="12"/>
        <v>654.7015180505631</v>
      </c>
      <c r="S109">
        <f t="shared" si="14"/>
        <v>546.27362073620611</v>
      </c>
      <c r="T109">
        <f t="shared" si="14"/>
        <v>457.14814742982202</v>
      </c>
    </row>
    <row r="110" spans="1:20" x14ac:dyDescent="0.3">
      <c r="A110">
        <v>9.8000000000000096</v>
      </c>
      <c r="B110" s="2">
        <f t="shared" si="15"/>
        <v>514.21559503039987</v>
      </c>
      <c r="C110">
        <f t="shared" si="16"/>
        <v>514.22</v>
      </c>
      <c r="H110">
        <v>6.3999999999999897</v>
      </c>
      <c r="I110">
        <f t="shared" si="17"/>
        <v>574.22878912640022</v>
      </c>
      <c r="J110">
        <f t="shared" si="18"/>
        <v>574.23</v>
      </c>
      <c r="L110">
        <f t="shared" si="19"/>
        <v>573.18351719104021</v>
      </c>
      <c r="N110">
        <f t="shared" si="20"/>
        <v>1.045271935360006</v>
      </c>
      <c r="Q110">
        <v>-5.7999999999999901</v>
      </c>
      <c r="R110">
        <f t="shared" si="12"/>
        <v>654.57979029706416</v>
      </c>
      <c r="S110" s="4">
        <f t="shared" si="14"/>
        <v>546.17929829298168</v>
      </c>
      <c r="T110">
        <f t="shared" si="14"/>
        <v>457.10969387595924</v>
      </c>
    </row>
    <row r="111" spans="1:20" x14ac:dyDescent="0.3">
      <c r="A111">
        <v>9.9000000000000092</v>
      </c>
      <c r="B111" s="2">
        <f t="shared" si="15"/>
        <v>512.81277385039994</v>
      </c>
      <c r="C111">
        <f t="shared" si="16"/>
        <v>512.80999999999995</v>
      </c>
      <c r="H111">
        <v>6.4499999999999904</v>
      </c>
      <c r="I111">
        <f t="shared" si="17"/>
        <v>573.1310781115252</v>
      </c>
      <c r="J111">
        <f t="shared" si="18"/>
        <v>573.13</v>
      </c>
      <c r="L111">
        <f t="shared" si="19"/>
        <v>572.09054299590582</v>
      </c>
      <c r="N111">
        <f t="shared" si="20"/>
        <v>1.0405351156193774</v>
      </c>
      <c r="Q111">
        <v>-5.8999999999999897</v>
      </c>
      <c r="R111">
        <f t="shared" si="12"/>
        <v>654.45806254356523</v>
      </c>
      <c r="S111">
        <f t="shared" si="14"/>
        <v>546.08497584975726</v>
      </c>
      <c r="T111">
        <f t="shared" si="14"/>
        <v>457.07124032209646</v>
      </c>
    </row>
    <row r="112" spans="1:20" x14ac:dyDescent="0.3">
      <c r="A112">
        <v>10</v>
      </c>
      <c r="B112" s="2">
        <f t="shared" si="15"/>
        <v>511.42608200000006</v>
      </c>
      <c r="C112">
        <f t="shared" si="16"/>
        <v>511.43</v>
      </c>
      <c r="H112">
        <v>6.4999999999999902</v>
      </c>
      <c r="I112">
        <f t="shared" si="17"/>
        <v>572.04112250000026</v>
      </c>
      <c r="J112">
        <f t="shared" si="18"/>
        <v>572.04</v>
      </c>
      <c r="L112">
        <f t="shared" si="19"/>
        <v>571.00536273125022</v>
      </c>
      <c r="N112">
        <f t="shared" si="20"/>
        <v>1.0357597687500402</v>
      </c>
      <c r="Q112">
        <v>-5.9999999999999902</v>
      </c>
      <c r="R112">
        <f t="shared" si="12"/>
        <v>654.33633479006642</v>
      </c>
      <c r="S112">
        <f t="shared" si="14"/>
        <v>545.99065340653283</v>
      </c>
      <c r="T112">
        <f t="shared" si="14"/>
        <v>457.03278676823368</v>
      </c>
    </row>
    <row r="113" spans="1:20" x14ac:dyDescent="0.3">
      <c r="A113">
        <v>10.1</v>
      </c>
      <c r="B113" s="2">
        <f t="shared" si="15"/>
        <v>510.05519362640001</v>
      </c>
      <c r="C113">
        <f t="shared" si="16"/>
        <v>510.06</v>
      </c>
      <c r="H113">
        <v>6.5499999999999901</v>
      </c>
      <c r="I113">
        <f t="shared" si="17"/>
        <v>570.95885566452523</v>
      </c>
      <c r="J113">
        <f t="shared" si="18"/>
        <v>570.96</v>
      </c>
      <c r="L113">
        <f t="shared" si="19"/>
        <v>569.92790842885586</v>
      </c>
      <c r="N113">
        <f t="shared" si="20"/>
        <v>1.0309472356693732</v>
      </c>
      <c r="Q113">
        <v>-6.0999999999999899</v>
      </c>
      <c r="R113">
        <f t="shared" si="12"/>
        <v>654.21460703656749</v>
      </c>
      <c r="S113">
        <f t="shared" si="14"/>
        <v>545.89633096330829</v>
      </c>
      <c r="T113">
        <f t="shared" si="14"/>
        <v>456.9943332143709</v>
      </c>
    </row>
    <row r="114" spans="1:20" x14ac:dyDescent="0.3">
      <c r="A114">
        <v>10.199999999999999</v>
      </c>
      <c r="B114" s="2">
        <f t="shared" si="15"/>
        <v>508.69978883840014</v>
      </c>
      <c r="C114">
        <f t="shared" si="16"/>
        <v>508.7</v>
      </c>
      <c r="H114">
        <v>6.5999999999999899</v>
      </c>
      <c r="I114">
        <f t="shared" si="17"/>
        <v>569.88421135040028</v>
      </c>
      <c r="J114">
        <f t="shared" si="18"/>
        <v>569.88</v>
      </c>
      <c r="L114">
        <f t="shared" si="19"/>
        <v>568.8581125046403</v>
      </c>
      <c r="N114">
        <f t="shared" si="20"/>
        <v>1.0260988457599751</v>
      </c>
      <c r="Q114">
        <v>-6.1999999999999904</v>
      </c>
      <c r="R114">
        <f t="shared" si="12"/>
        <v>654.09287928306856</v>
      </c>
      <c r="S114">
        <f t="shared" si="14"/>
        <v>545.80200852008386</v>
      </c>
      <c r="T114">
        <f t="shared" si="14"/>
        <v>456.95587966050812</v>
      </c>
    </row>
    <row r="115" spans="1:20" x14ac:dyDescent="0.3">
      <c r="A115">
        <v>10.3</v>
      </c>
      <c r="B115" s="2">
        <f t="shared" si="15"/>
        <v>507.35955370639999</v>
      </c>
      <c r="C115">
        <f t="shared" si="16"/>
        <v>507.36</v>
      </c>
      <c r="H115">
        <v>6.6499999999999897</v>
      </c>
      <c r="I115">
        <f t="shared" si="17"/>
        <v>568.81712367552518</v>
      </c>
      <c r="J115">
        <f t="shared" si="18"/>
        <v>568.82000000000005</v>
      </c>
      <c r="L115">
        <f t="shared" si="19"/>
        <v>567.79590775865586</v>
      </c>
      <c r="N115">
        <f t="shared" si="20"/>
        <v>1.0212159168693233</v>
      </c>
      <c r="Q115">
        <v>-6.2999999999999901</v>
      </c>
      <c r="R115">
        <f t="shared" si="12"/>
        <v>653.97115152956974</v>
      </c>
      <c r="S115">
        <f t="shared" si="14"/>
        <v>545.70768607685943</v>
      </c>
      <c r="T115">
        <f t="shared" si="14"/>
        <v>456.91742610664539</v>
      </c>
    </row>
    <row r="116" spans="1:20" x14ac:dyDescent="0.3">
      <c r="A116">
        <v>10.4</v>
      </c>
      <c r="B116" s="2">
        <f t="shared" si="15"/>
        <v>506.03418026240001</v>
      </c>
      <c r="C116">
        <f t="shared" si="16"/>
        <v>506.03</v>
      </c>
      <c r="H116">
        <v>6.6999999999999904</v>
      </c>
      <c r="I116">
        <f t="shared" si="17"/>
        <v>567.75752713040026</v>
      </c>
      <c r="J116">
        <f t="shared" si="18"/>
        <v>567.76</v>
      </c>
      <c r="L116">
        <f t="shared" si="19"/>
        <v>566.74122737509015</v>
      </c>
      <c r="N116">
        <f t="shared" si="20"/>
        <v>1.016299755310115</v>
      </c>
      <c r="Q116">
        <v>-6.3999999999999897</v>
      </c>
      <c r="R116">
        <f t="shared" si="12"/>
        <v>653.84942377607081</v>
      </c>
      <c r="S116">
        <f t="shared" si="14"/>
        <v>545.613363633635</v>
      </c>
      <c r="T116">
        <f t="shared" si="14"/>
        <v>456.87897255278261</v>
      </c>
    </row>
    <row r="117" spans="1:20" x14ac:dyDescent="0.3">
      <c r="A117">
        <v>10.5</v>
      </c>
      <c r="B117" s="2">
        <f t="shared" si="15"/>
        <v>504.7233665</v>
      </c>
      <c r="C117">
        <f t="shared" si="16"/>
        <v>504.72</v>
      </c>
      <c r="H117">
        <v>6.7499999999999902</v>
      </c>
      <c r="I117">
        <f t="shared" si="17"/>
        <v>566.70535657812525</v>
      </c>
      <c r="J117">
        <f t="shared" si="18"/>
        <v>566.71</v>
      </c>
      <c r="L117">
        <f t="shared" si="19"/>
        <v>565.69400492226578</v>
      </c>
      <c r="N117">
        <f t="shared" si="20"/>
        <v>1.0113516558594711</v>
      </c>
      <c r="Q117">
        <v>-6.4999999999999902</v>
      </c>
      <c r="R117">
        <f t="shared" si="12"/>
        <v>653.72769602257188</v>
      </c>
      <c r="S117">
        <f t="shared" si="14"/>
        <v>545.51904119041046</v>
      </c>
      <c r="T117">
        <f t="shared" si="14"/>
        <v>456.84051899891983</v>
      </c>
    </row>
    <row r="118" spans="1:20" x14ac:dyDescent="0.3">
      <c r="A118">
        <v>10.6</v>
      </c>
      <c r="B118" s="2">
        <f t="shared" si="15"/>
        <v>503.42681637440012</v>
      </c>
      <c r="C118">
        <f t="shared" si="16"/>
        <v>503.43</v>
      </c>
      <c r="H118">
        <v>6.7999999999999901</v>
      </c>
      <c r="I118">
        <f t="shared" si="17"/>
        <v>565.66054725440029</v>
      </c>
      <c r="J118">
        <f t="shared" si="18"/>
        <v>565.66</v>
      </c>
      <c r="L118">
        <f t="shared" si="19"/>
        <v>564.65417435264021</v>
      </c>
      <c r="N118">
        <f t="shared" si="20"/>
        <v>1.0063729017600735</v>
      </c>
      <c r="Q118">
        <v>-6.5999999999999899</v>
      </c>
      <c r="R118">
        <f t="shared" si="12"/>
        <v>653.60596826907306</v>
      </c>
      <c r="S118">
        <f t="shared" si="14"/>
        <v>545.42471874718603</v>
      </c>
      <c r="T118">
        <f t="shared" si="14"/>
        <v>456.80206544505705</v>
      </c>
    </row>
    <row r="119" spans="1:20" x14ac:dyDescent="0.3">
      <c r="A119">
        <v>10.7</v>
      </c>
      <c r="B119" s="2">
        <f t="shared" si="15"/>
        <v>502.14423980240002</v>
      </c>
      <c r="C119">
        <f t="shared" si="16"/>
        <v>502.14</v>
      </c>
      <c r="H119">
        <v>6.8499999999999899</v>
      </c>
      <c r="I119">
        <f t="shared" si="17"/>
        <v>564.62303476752527</v>
      </c>
      <c r="J119">
        <f t="shared" si="18"/>
        <v>564.62</v>
      </c>
      <c r="L119">
        <f t="shared" si="19"/>
        <v>563.6216700028059</v>
      </c>
      <c r="N119">
        <f t="shared" si="20"/>
        <v>1.0013647647193693</v>
      </c>
      <c r="Q119">
        <v>-6.6999999999999904</v>
      </c>
      <c r="R119">
        <f t="shared" si="12"/>
        <v>653.48424051557413</v>
      </c>
      <c r="S119">
        <f t="shared" si="14"/>
        <v>545.33039630396161</v>
      </c>
      <c r="T119">
        <f t="shared" si="14"/>
        <v>456.76361189119427</v>
      </c>
    </row>
    <row r="120" spans="1:20" x14ac:dyDescent="0.3">
      <c r="A120">
        <v>10.8</v>
      </c>
      <c r="B120" s="2">
        <f t="shared" si="15"/>
        <v>500.87535266240008</v>
      </c>
      <c r="C120">
        <f t="shared" si="16"/>
        <v>500.88</v>
      </c>
      <c r="H120">
        <v>6.8999999999999897</v>
      </c>
      <c r="I120">
        <f t="shared" si="17"/>
        <v>563.59275509840029</v>
      </c>
      <c r="J120">
        <f t="shared" si="18"/>
        <v>563.59</v>
      </c>
      <c r="L120">
        <f t="shared" si="19"/>
        <v>562.59642659349026</v>
      </c>
      <c r="N120">
        <f t="shared" si="20"/>
        <v>0.996328504910025</v>
      </c>
      <c r="Q120">
        <v>-6.7999999999999901</v>
      </c>
      <c r="R120">
        <f t="shared" si="12"/>
        <v>653.3625127620752</v>
      </c>
      <c r="S120">
        <f t="shared" si="14"/>
        <v>545.23607386073718</v>
      </c>
      <c r="T120">
        <f t="shared" si="14"/>
        <v>456.72515833733149</v>
      </c>
    </row>
    <row r="121" spans="1:20" x14ac:dyDescent="0.3">
      <c r="A121">
        <v>10.9</v>
      </c>
      <c r="B121" s="2">
        <f t="shared" si="15"/>
        <v>499.6198767944</v>
      </c>
      <c r="C121">
        <f t="shared" si="16"/>
        <v>499.62</v>
      </c>
      <c r="H121">
        <v>6.9499999999999904</v>
      </c>
      <c r="I121">
        <f t="shared" si="17"/>
        <v>562.56964460052518</v>
      </c>
      <c r="J121">
        <f t="shared" si="18"/>
        <v>562.57000000000005</v>
      </c>
      <c r="L121">
        <f t="shared" si="19"/>
        <v>561.57837922955582</v>
      </c>
      <c r="N121">
        <f t="shared" si="20"/>
        <v>0.99126537096935863</v>
      </c>
    </row>
    <row r="122" spans="1:20" x14ac:dyDescent="0.3">
      <c r="A122">
        <v>11</v>
      </c>
      <c r="B122" s="2">
        <f t="shared" si="15"/>
        <v>498.37754000000007</v>
      </c>
      <c r="C122">
        <f t="shared" si="16"/>
        <v>498.38</v>
      </c>
      <c r="H122">
        <v>6.9999999999999902</v>
      </c>
      <c r="I122">
        <f t="shared" si="17"/>
        <v>561.55364000000031</v>
      </c>
      <c r="J122">
        <f t="shared" si="18"/>
        <v>561.54999999999995</v>
      </c>
      <c r="L122">
        <f t="shared" si="19"/>
        <v>560.56746340000018</v>
      </c>
      <c r="N122">
        <f t="shared" si="20"/>
        <v>0.98617660000013529</v>
      </c>
    </row>
    <row r="123" spans="1:20" x14ac:dyDescent="0.3">
      <c r="A123">
        <v>11.1</v>
      </c>
      <c r="B123" s="2">
        <f t="shared" si="15"/>
        <v>497.14807604240002</v>
      </c>
      <c r="C123">
        <f t="shared" si="16"/>
        <v>497.15</v>
      </c>
      <c r="H123">
        <v>7.0499999999999901</v>
      </c>
      <c r="I123">
        <f t="shared" si="17"/>
        <v>560.54467839552524</v>
      </c>
      <c r="J123">
        <f t="shared" si="18"/>
        <v>560.54</v>
      </c>
      <c r="L123">
        <f t="shared" si="19"/>
        <v>559.56361497795581</v>
      </c>
      <c r="N123">
        <f t="shared" si="20"/>
        <v>0.98106341756943038</v>
      </c>
    </row>
    <row r="124" spans="1:20" x14ac:dyDescent="0.3">
      <c r="A124">
        <v>11.2</v>
      </c>
      <c r="B124" s="2">
        <f t="shared" si="15"/>
        <v>495.9312246464001</v>
      </c>
      <c r="C124">
        <f t="shared" si="16"/>
        <v>495.93</v>
      </c>
      <c r="H124">
        <v>7.0999999999999899</v>
      </c>
      <c r="I124">
        <f t="shared" si="17"/>
        <v>559.54269725840027</v>
      </c>
      <c r="J124">
        <f t="shared" si="18"/>
        <v>559.54</v>
      </c>
      <c r="L124">
        <f t="shared" si="19"/>
        <v>558.56677022069016</v>
      </c>
      <c r="N124">
        <f t="shared" si="20"/>
        <v>0.97592703771010747</v>
      </c>
    </row>
    <row r="125" spans="1:20" x14ac:dyDescent="0.3">
      <c r="A125">
        <v>11.3</v>
      </c>
      <c r="B125" s="2">
        <f t="shared" si="15"/>
        <v>494.7267314984</v>
      </c>
      <c r="C125">
        <f t="shared" si="16"/>
        <v>494.73</v>
      </c>
      <c r="H125">
        <v>7.1499999999999897</v>
      </c>
      <c r="I125">
        <f t="shared" si="17"/>
        <v>558.54763443252523</v>
      </c>
      <c r="J125">
        <f t="shared" si="18"/>
        <v>558.54999999999995</v>
      </c>
      <c r="L125">
        <f t="shared" si="19"/>
        <v>557.57686576960577</v>
      </c>
      <c r="N125">
        <f t="shared" si="20"/>
        <v>0.97076866291945407</v>
      </c>
    </row>
    <row r="126" spans="1:20" x14ac:dyDescent="0.3">
      <c r="A126">
        <v>11.4</v>
      </c>
      <c r="B126" s="2">
        <f t="shared" si="15"/>
        <v>493.53434824640004</v>
      </c>
      <c r="C126">
        <f t="shared" si="16"/>
        <v>493.53</v>
      </c>
      <c r="H126">
        <v>7.1999999999999904</v>
      </c>
      <c r="I126">
        <f t="shared" si="17"/>
        <v>557.55942813440026</v>
      </c>
      <c r="J126">
        <f t="shared" si="18"/>
        <v>557.55999999999995</v>
      </c>
      <c r="L126">
        <f t="shared" si="19"/>
        <v>556.59383865024017</v>
      </c>
      <c r="N126">
        <f t="shared" si="20"/>
        <v>0.96558948416009116</v>
      </c>
    </row>
    <row r="127" spans="1:20" x14ac:dyDescent="0.3">
      <c r="A127">
        <v>11.5</v>
      </c>
      <c r="B127" s="2">
        <f t="shared" si="15"/>
        <v>492.35383249999995</v>
      </c>
      <c r="C127">
        <f t="shared" si="16"/>
        <v>492.35</v>
      </c>
      <c r="H127">
        <v>7.2499999999999796</v>
      </c>
      <c r="I127">
        <f t="shared" si="17"/>
        <v>556.57801695312537</v>
      </c>
      <c r="J127">
        <f t="shared" si="18"/>
        <v>556.58000000000004</v>
      </c>
      <c r="L127">
        <f t="shared" si="19"/>
        <v>555.61762627226608</v>
      </c>
      <c r="N127">
        <f t="shared" si="20"/>
        <v>0.96039068085929102</v>
      </c>
    </row>
    <row r="128" spans="1:20" x14ac:dyDescent="0.3">
      <c r="A128">
        <v>11.6</v>
      </c>
      <c r="B128" s="2">
        <f t="shared" si="15"/>
        <v>491.18494783040018</v>
      </c>
      <c r="C128">
        <f t="shared" si="16"/>
        <v>491.18</v>
      </c>
      <c r="H128">
        <v>7.2999999999999803</v>
      </c>
      <c r="I128">
        <f t="shared" si="17"/>
        <v>555.6033398504004</v>
      </c>
      <c r="J128">
        <f t="shared" si="18"/>
        <v>555.6</v>
      </c>
      <c r="L128">
        <f t="shared" si="19"/>
        <v>554.6481664294904</v>
      </c>
      <c r="N128">
        <f t="shared" si="20"/>
        <v>0.95517342091000046</v>
      </c>
    </row>
    <row r="129" spans="1:14" x14ac:dyDescent="0.3">
      <c r="A129">
        <v>11.7</v>
      </c>
      <c r="B129" s="2">
        <f t="shared" si="15"/>
        <v>490.02746377040006</v>
      </c>
      <c r="C129">
        <f t="shared" si="16"/>
        <v>490.03</v>
      </c>
      <c r="H129">
        <v>7.3499999999999801</v>
      </c>
      <c r="I129">
        <f t="shared" si="17"/>
        <v>554.63533616052541</v>
      </c>
      <c r="J129">
        <f t="shared" si="18"/>
        <v>554.64</v>
      </c>
      <c r="L129">
        <f t="shared" si="19"/>
        <v>553.68539729985605</v>
      </c>
      <c r="N129">
        <f t="shared" si="20"/>
        <v>0.94993886066936284</v>
      </c>
    </row>
    <row r="130" spans="1:14" x14ac:dyDescent="0.3">
      <c r="A130">
        <v>11.8</v>
      </c>
      <c r="B130" s="2">
        <f t="shared" si="15"/>
        <v>488.88115581440002</v>
      </c>
      <c r="C130">
        <f t="shared" si="16"/>
        <v>488.88</v>
      </c>
      <c r="H130">
        <v>7.3999999999999799</v>
      </c>
      <c r="I130">
        <f t="shared" si="17"/>
        <v>553.67394559040042</v>
      </c>
      <c r="J130">
        <f t="shared" si="18"/>
        <v>553.66999999999996</v>
      </c>
      <c r="L130">
        <f t="shared" si="19"/>
        <v>552.72925744544034</v>
      </c>
      <c r="N130">
        <f t="shared" si="20"/>
        <v>0.94468814496008235</v>
      </c>
    </row>
    <row r="131" spans="1:14" x14ac:dyDescent="0.3">
      <c r="A131">
        <v>11.9</v>
      </c>
      <c r="B131" s="2">
        <f t="shared" si="15"/>
        <v>487.7458054184001</v>
      </c>
      <c r="C131">
        <f t="shared" si="16"/>
        <v>487.75</v>
      </c>
      <c r="H131">
        <v>7.4499999999999797</v>
      </c>
      <c r="I131">
        <f t="shared" si="17"/>
        <v>552.71910821952542</v>
      </c>
      <c r="J131">
        <f t="shared" si="18"/>
        <v>552.72</v>
      </c>
      <c r="L131">
        <f t="shared" si="19"/>
        <v>551.77968581245602</v>
      </c>
      <c r="N131">
        <f t="shared" si="20"/>
        <v>0.93942240706940083</v>
      </c>
    </row>
    <row r="132" spans="1:14" x14ac:dyDescent="0.3">
      <c r="A132">
        <v>12</v>
      </c>
      <c r="B132" s="2">
        <f t="shared" si="15"/>
        <v>486.62119999999993</v>
      </c>
      <c r="C132">
        <f t="shared" si="16"/>
        <v>486.62</v>
      </c>
      <c r="H132">
        <v>7.4999999999999796</v>
      </c>
      <c r="I132">
        <f t="shared" si="17"/>
        <v>551.7707645000005</v>
      </c>
      <c r="J132">
        <f t="shared" si="18"/>
        <v>551.77</v>
      </c>
      <c r="L132">
        <f t="shared" si="19"/>
        <v>550.83662173125037</v>
      </c>
      <c r="N132">
        <f t="shared" si="20"/>
        <v>0.93414276875012092</v>
      </c>
    </row>
    <row r="133" spans="1:14" x14ac:dyDescent="0.3">
      <c r="A133">
        <v>12.1</v>
      </c>
      <c r="B133" s="2">
        <f t="shared" si="15"/>
        <v>485.5071329384001</v>
      </c>
      <c r="C133">
        <f t="shared" si="16"/>
        <v>485.51</v>
      </c>
      <c r="H133">
        <v>7.5499999999999803</v>
      </c>
      <c r="I133">
        <f t="shared" si="17"/>
        <v>550.82885525652546</v>
      </c>
      <c r="J133">
        <f t="shared" si="18"/>
        <v>550.83000000000004</v>
      </c>
      <c r="L133">
        <f t="shared" si="19"/>
        <v>549.90000491630599</v>
      </c>
      <c r="N133">
        <f t="shared" si="20"/>
        <v>0.92885034021946922</v>
      </c>
    </row>
    <row r="134" spans="1:14" x14ac:dyDescent="0.3">
      <c r="A134">
        <v>12.2</v>
      </c>
      <c r="B134" s="2">
        <f t="shared" si="15"/>
        <v>484.40340357439993</v>
      </c>
      <c r="C134">
        <f t="shared" si="16"/>
        <v>484.4</v>
      </c>
      <c r="H134">
        <v>7.5999999999999801</v>
      </c>
      <c r="I134">
        <f t="shared" si="17"/>
        <v>549.89332168640044</v>
      </c>
      <c r="J134">
        <f t="shared" si="18"/>
        <v>549.89</v>
      </c>
      <c r="L134">
        <f t="shared" si="19"/>
        <v>548.96977546624043</v>
      </c>
      <c r="N134">
        <f t="shared" si="20"/>
        <v>0.92354622016000576</v>
      </c>
    </row>
    <row r="135" spans="1:14" x14ac:dyDescent="0.3">
      <c r="A135">
        <v>12.3</v>
      </c>
      <c r="B135" s="2">
        <f t="shared" si="15"/>
        <v>483.30981721039996</v>
      </c>
      <c r="C135">
        <f t="shared" si="16"/>
        <v>483.31</v>
      </c>
      <c r="H135">
        <v>7.6499999999999799</v>
      </c>
      <c r="I135">
        <f t="shared" si="17"/>
        <v>548.96410535952543</v>
      </c>
      <c r="J135">
        <f t="shared" si="18"/>
        <v>548.96</v>
      </c>
      <c r="L135">
        <f t="shared" si="19"/>
        <v>548.04587386380604</v>
      </c>
      <c r="N135">
        <f t="shared" si="20"/>
        <v>0.91823149571939666</v>
      </c>
    </row>
    <row r="136" spans="1:14" x14ac:dyDescent="0.3">
      <c r="A136">
        <v>12.4</v>
      </c>
      <c r="B136" s="2">
        <f t="shared" si="15"/>
        <v>482.22618511040002</v>
      </c>
      <c r="C136">
        <f t="shared" si="16"/>
        <v>482.23</v>
      </c>
      <c r="H136">
        <v>7.6999999999999797</v>
      </c>
      <c r="I136">
        <f t="shared" si="17"/>
        <v>548.04114821840039</v>
      </c>
      <c r="J136">
        <f t="shared" si="18"/>
        <v>548.04</v>
      </c>
      <c r="L136">
        <f t="shared" si="19"/>
        <v>547.12824097589044</v>
      </c>
      <c r="N136">
        <f t="shared" si="20"/>
        <v>0.91290724250995936</v>
      </c>
    </row>
    <row r="137" spans="1:14" x14ac:dyDescent="0.3">
      <c r="A137">
        <v>12.5</v>
      </c>
      <c r="B137" s="2">
        <f t="shared" si="15"/>
        <v>481.15232450000008</v>
      </c>
      <c r="C137">
        <f t="shared" si="16"/>
        <v>481.15</v>
      </c>
      <c r="H137">
        <v>7.7499999999999796</v>
      </c>
      <c r="I137">
        <f t="shared" si="17"/>
        <v>547.12439257812548</v>
      </c>
      <c r="J137">
        <f t="shared" si="18"/>
        <v>547.12</v>
      </c>
      <c r="L137">
        <f t="shared" si="19"/>
        <v>546.21681805351602</v>
      </c>
      <c r="N137">
        <f t="shared" si="20"/>
        <v>0.90757452460945842</v>
      </c>
    </row>
    <row r="138" spans="1:14" x14ac:dyDescent="0.3">
      <c r="A138">
        <v>12.6</v>
      </c>
      <c r="B138" s="2">
        <f t="shared" si="15"/>
        <v>480.08805856640004</v>
      </c>
      <c r="C138">
        <f t="shared" si="16"/>
        <v>480.09</v>
      </c>
      <c r="H138">
        <v>7.7999999999999803</v>
      </c>
      <c r="I138">
        <f t="shared" si="17"/>
        <v>546.21378112640036</v>
      </c>
      <c r="J138">
        <f t="shared" si="18"/>
        <v>546.21</v>
      </c>
      <c r="L138">
        <f t="shared" si="19"/>
        <v>545.31154673184039</v>
      </c>
      <c r="N138">
        <f t="shared" si="20"/>
        <v>0.90223439455996868</v>
      </c>
    </row>
    <row r="139" spans="1:14" x14ac:dyDescent="0.3">
      <c r="A139">
        <v>12.7</v>
      </c>
      <c r="B139" s="2">
        <f t="shared" si="15"/>
        <v>479.03321645840015</v>
      </c>
      <c r="C139">
        <f t="shared" si="16"/>
        <v>479.03</v>
      </c>
      <c r="H139">
        <v>7.8499999999999801</v>
      </c>
      <c r="I139">
        <f t="shared" si="17"/>
        <v>545.30925692352548</v>
      </c>
      <c r="J139">
        <f t="shared" si="18"/>
        <v>545.30999999999995</v>
      </c>
      <c r="L139">
        <f t="shared" si="19"/>
        <v>544.41236903015601</v>
      </c>
      <c r="N139">
        <f t="shared" si="20"/>
        <v>0.89688789336946684</v>
      </c>
    </row>
    <row r="140" spans="1:14" x14ac:dyDescent="0.3">
      <c r="A140">
        <v>12.8</v>
      </c>
      <c r="B140" s="2">
        <f t="shared" si="15"/>
        <v>477.98763328640007</v>
      </c>
      <c r="C140">
        <f t="shared" si="16"/>
        <v>477.99</v>
      </c>
      <c r="H140">
        <v>7.8999999999999799</v>
      </c>
      <c r="I140">
        <f t="shared" si="17"/>
        <v>544.41076340240033</v>
      </c>
      <c r="J140">
        <f t="shared" si="18"/>
        <v>544.41</v>
      </c>
      <c r="L140">
        <f t="shared" si="19"/>
        <v>543.51922735189032</v>
      </c>
      <c r="N140">
        <f t="shared" si="20"/>
        <v>0.8915360505100125</v>
      </c>
    </row>
    <row r="141" spans="1:14" x14ac:dyDescent="0.3">
      <c r="A141">
        <v>12.9</v>
      </c>
      <c r="B141" s="2">
        <f t="shared" si="15"/>
        <v>476.95115012240007</v>
      </c>
      <c r="C141">
        <f t="shared" si="16"/>
        <v>476.95</v>
      </c>
      <c r="H141">
        <v>7.9499999999999797</v>
      </c>
      <c r="I141">
        <f t="shared" si="17"/>
        <v>543.51824436852542</v>
      </c>
      <c r="J141">
        <f t="shared" si="18"/>
        <v>543.52</v>
      </c>
      <c r="L141">
        <f t="shared" si="19"/>
        <v>542.63206448460596</v>
      </c>
      <c r="N141">
        <f t="shared" si="20"/>
        <v>0.88617988391945346</v>
      </c>
    </row>
    <row r="142" spans="1:14" x14ac:dyDescent="0.3">
      <c r="A142">
        <v>13</v>
      </c>
      <c r="B142" s="2">
        <f t="shared" si="15"/>
        <v>475.92361400000004</v>
      </c>
      <c r="C142">
        <f t="shared" si="16"/>
        <v>475.92</v>
      </c>
      <c r="H142">
        <v>7.9999999999999796</v>
      </c>
      <c r="I142">
        <f t="shared" si="17"/>
        <v>542.63164400000039</v>
      </c>
      <c r="J142">
        <f t="shared" si="18"/>
        <v>542.63</v>
      </c>
      <c r="L142">
        <f t="shared" si="19"/>
        <v>541.75082360000033</v>
      </c>
      <c r="N142">
        <f t="shared" si="20"/>
        <v>0.88082040000006145</v>
      </c>
    </row>
    <row r="143" spans="1:14" x14ac:dyDescent="0.3">
      <c r="A143">
        <v>13.1</v>
      </c>
      <c r="B143" s="2">
        <f t="shared" si="15"/>
        <v>474.9048779144</v>
      </c>
      <c r="C143">
        <f t="shared" si="16"/>
        <v>474.9</v>
      </c>
      <c r="H143">
        <v>8.0499999999999794</v>
      </c>
      <c r="I143">
        <f t="shared" si="17"/>
        <v>541.75090684752536</v>
      </c>
      <c r="J143">
        <f t="shared" si="18"/>
        <v>541.75</v>
      </c>
      <c r="L143">
        <f t="shared" si="19"/>
        <v>540.87544825390592</v>
      </c>
      <c r="N143">
        <f t="shared" si="20"/>
        <v>0.87545859361944167</v>
      </c>
    </row>
    <row r="144" spans="1:14" x14ac:dyDescent="0.3">
      <c r="A144">
        <v>13.2</v>
      </c>
      <c r="B144" s="2">
        <f t="shared" si="15"/>
        <v>473.89480082239993</v>
      </c>
      <c r="C144">
        <f t="shared" si="16"/>
        <v>473.89</v>
      </c>
      <c r="H144">
        <v>8.0999999999999801</v>
      </c>
      <c r="I144">
        <f t="shared" si="17"/>
        <v>540.87597783440037</v>
      </c>
      <c r="J144">
        <f t="shared" si="18"/>
        <v>540.88</v>
      </c>
      <c r="L144">
        <f t="shared" si="19"/>
        <v>540.0058823862903</v>
      </c>
      <c r="N144">
        <f t="shared" si="20"/>
        <v>0.870095448110078</v>
      </c>
    </row>
    <row r="145" spans="1:14" x14ac:dyDescent="0.3">
      <c r="A145">
        <v>13.3</v>
      </c>
      <c r="B145" s="2">
        <f t="shared" si="15"/>
        <v>472.89324764240013</v>
      </c>
      <c r="C145">
        <f t="shared" si="16"/>
        <v>472.89</v>
      </c>
      <c r="H145">
        <v>8.1499999999999808</v>
      </c>
      <c r="I145">
        <f t="shared" si="17"/>
        <v>540.00680225652536</v>
      </c>
      <c r="J145">
        <f t="shared" si="18"/>
        <v>540.01</v>
      </c>
      <c r="L145">
        <f t="shared" si="19"/>
        <v>539.14207032125591</v>
      </c>
      <c r="N145">
        <f t="shared" si="20"/>
        <v>0.86473193526944669</v>
      </c>
    </row>
    <row r="146" spans="1:14" x14ac:dyDescent="0.3">
      <c r="A146">
        <v>13.4</v>
      </c>
      <c r="B146" s="2">
        <f t="shared" si="15"/>
        <v>471.90008925439997</v>
      </c>
      <c r="C146">
        <f t="shared" si="16"/>
        <v>471.9</v>
      </c>
      <c r="H146">
        <v>8.1999999999999797</v>
      </c>
      <c r="I146">
        <f t="shared" si="17"/>
        <v>539.14332578240032</v>
      </c>
      <c r="J146">
        <f t="shared" si="18"/>
        <v>539.14</v>
      </c>
      <c r="L146">
        <f t="shared" si="19"/>
        <v>538.28395676704031</v>
      </c>
      <c r="N146">
        <f t="shared" si="20"/>
        <v>0.85936901536001642</v>
      </c>
    </row>
    <row r="147" spans="1:14" x14ac:dyDescent="0.3">
      <c r="A147">
        <v>13.5</v>
      </c>
      <c r="B147" s="2">
        <f t="shared" si="15"/>
        <v>470.91520249999996</v>
      </c>
      <c r="C147">
        <f t="shared" si="16"/>
        <v>470.92</v>
      </c>
      <c r="H147">
        <v>8.2499999999999805</v>
      </c>
      <c r="I147">
        <f t="shared" si="17"/>
        <v>538.28549445312535</v>
      </c>
      <c r="J147">
        <f t="shared" si="18"/>
        <v>538.29</v>
      </c>
      <c r="L147">
        <f t="shared" si="19"/>
        <v>537.43148681601599</v>
      </c>
      <c r="N147">
        <f t="shared" si="20"/>
        <v>0.85400763710936189</v>
      </c>
    </row>
    <row r="148" spans="1:14" x14ac:dyDescent="0.3">
      <c r="A148">
        <v>13.6</v>
      </c>
      <c r="B148" s="2">
        <f t="shared" si="15"/>
        <v>469.93847018240001</v>
      </c>
      <c r="C148">
        <f t="shared" si="16"/>
        <v>469.94</v>
      </c>
      <c r="H148">
        <v>8.2999999999999794</v>
      </c>
      <c r="I148">
        <f t="shared" si="17"/>
        <v>537.43325468240039</v>
      </c>
      <c r="J148">
        <f t="shared" si="18"/>
        <v>537.42999999999995</v>
      </c>
      <c r="L148">
        <f t="shared" si="19"/>
        <v>536.58460594469034</v>
      </c>
      <c r="N148">
        <f t="shared" si="20"/>
        <v>0.84864873771005023</v>
      </c>
    </row>
    <row r="149" spans="1:14" x14ac:dyDescent="0.3">
      <c r="A149">
        <v>13.7</v>
      </c>
      <c r="B149" s="2">
        <f t="shared" si="15"/>
        <v>468.96978106639995</v>
      </c>
      <c r="C149">
        <f t="shared" si="16"/>
        <v>468.97</v>
      </c>
      <c r="H149">
        <v>8.3499999999999801</v>
      </c>
      <c r="I149">
        <f t="shared" si="17"/>
        <v>536.58655325652535</v>
      </c>
      <c r="J149">
        <f t="shared" si="18"/>
        <v>536.59</v>
      </c>
      <c r="L149">
        <f t="shared" si="19"/>
        <v>535.74326001370594</v>
      </c>
      <c r="N149">
        <f t="shared" si="20"/>
        <v>0.84329324281941354</v>
      </c>
    </row>
    <row r="150" spans="1:14" x14ac:dyDescent="0.3">
      <c r="A150">
        <v>13.8</v>
      </c>
      <c r="B150" s="2">
        <f t="shared" si="15"/>
        <v>468.00902987839999</v>
      </c>
      <c r="C150">
        <f t="shared" si="16"/>
        <v>468.01</v>
      </c>
      <c r="H150">
        <v>8.3999999999999808</v>
      </c>
      <c r="I150">
        <f t="shared" si="17"/>
        <v>535.74533733440035</v>
      </c>
      <c r="J150">
        <f t="shared" si="18"/>
        <v>535.75</v>
      </c>
      <c r="L150">
        <f t="shared" si="19"/>
        <v>534.90739526784023</v>
      </c>
      <c r="N150">
        <f t="shared" si="20"/>
        <v>0.83794206656011738</v>
      </c>
    </row>
    <row r="151" spans="1:14" x14ac:dyDescent="0.3">
      <c r="A151">
        <v>13.9</v>
      </c>
      <c r="B151" s="2">
        <f t="shared" si="15"/>
        <v>467.0561173064001</v>
      </c>
      <c r="C151">
        <f t="shared" si="16"/>
        <v>467.06</v>
      </c>
      <c r="H151">
        <v>8.4499999999999797</v>
      </c>
      <c r="I151">
        <f t="shared" si="17"/>
        <v>534.90955444752535</v>
      </c>
      <c r="J151">
        <f t="shared" si="18"/>
        <v>534.91</v>
      </c>
      <c r="L151">
        <f t="shared" si="19"/>
        <v>534.07695833600599</v>
      </c>
      <c r="N151">
        <f t="shared" si="20"/>
        <v>0.83259611151936497</v>
      </c>
    </row>
    <row r="152" spans="1:14" x14ac:dyDescent="0.3">
      <c r="A152">
        <v>14</v>
      </c>
      <c r="B152" s="2">
        <f t="shared" si="15"/>
        <v>466.11095000000006</v>
      </c>
      <c r="C152">
        <f t="shared" si="16"/>
        <v>466.11</v>
      </c>
      <c r="H152">
        <v>8.4999999999999805</v>
      </c>
      <c r="I152">
        <f t="shared" si="17"/>
        <v>534.07915250000042</v>
      </c>
      <c r="J152">
        <f t="shared" si="18"/>
        <v>534.08000000000004</v>
      </c>
      <c r="L152">
        <f t="shared" si="19"/>
        <v>533.25189623125038</v>
      </c>
      <c r="N152">
        <f t="shared" si="20"/>
        <v>0.827256268750034</v>
      </c>
    </row>
    <row r="153" spans="1:14" x14ac:dyDescent="0.3">
      <c r="A153">
        <v>14.1</v>
      </c>
      <c r="B153" s="2">
        <f t="shared" si="15"/>
        <v>465.17344057040009</v>
      </c>
      <c r="C153">
        <f t="shared" si="16"/>
        <v>465.17</v>
      </c>
      <c r="H153">
        <v>8.5499999999999794</v>
      </c>
      <c r="I153">
        <f t="shared" si="17"/>
        <v>533.25407976852534</v>
      </c>
      <c r="J153">
        <f t="shared" si="18"/>
        <v>533.25</v>
      </c>
      <c r="L153">
        <f t="shared" si="19"/>
        <v>532.43215635075603</v>
      </c>
      <c r="N153">
        <f t="shared" si="20"/>
        <v>0.82192341776931244</v>
      </c>
    </row>
    <row r="154" spans="1:14" x14ac:dyDescent="0.3">
      <c r="A154">
        <v>14.2</v>
      </c>
      <c r="B154" s="2">
        <f t="shared" si="15"/>
        <v>464.24350759040004</v>
      </c>
      <c r="C154">
        <f t="shared" si="16"/>
        <v>464.24</v>
      </c>
      <c r="H154">
        <v>8.5999999999999801</v>
      </c>
      <c r="I154">
        <f t="shared" si="17"/>
        <v>532.43428490240035</v>
      </c>
      <c r="J154">
        <f t="shared" si="18"/>
        <v>532.42999999999995</v>
      </c>
      <c r="L154">
        <f t="shared" si="19"/>
        <v>531.6176864758404</v>
      </c>
      <c r="N154">
        <f t="shared" si="20"/>
        <v>0.81659842655994908</v>
      </c>
    </row>
    <row r="155" spans="1:14" x14ac:dyDescent="0.3">
      <c r="A155">
        <v>14.3</v>
      </c>
      <c r="B155" s="2">
        <f t="shared" si="15"/>
        <v>463.32107559439999</v>
      </c>
      <c r="C155">
        <f t="shared" si="16"/>
        <v>463.32</v>
      </c>
      <c r="H155">
        <v>8.6499999999999808</v>
      </c>
      <c r="I155">
        <f t="shared" si="17"/>
        <v>531.6197169235254</v>
      </c>
      <c r="J155">
        <f t="shared" si="18"/>
        <v>531.62</v>
      </c>
      <c r="L155">
        <f t="shared" si="19"/>
        <v>530.80843477195594</v>
      </c>
      <c r="N155">
        <f t="shared" si="20"/>
        <v>0.81128215156945771</v>
      </c>
    </row>
    <row r="156" spans="1:14" x14ac:dyDescent="0.3">
      <c r="A156">
        <v>14.4</v>
      </c>
      <c r="B156" s="2">
        <f t="shared" si="15"/>
        <v>462.40607507839997</v>
      </c>
      <c r="C156">
        <f t="shared" si="16"/>
        <v>462.41</v>
      </c>
      <c r="H156">
        <v>8.6999999999999797</v>
      </c>
      <c r="I156">
        <f t="shared" si="17"/>
        <v>530.81032522640032</v>
      </c>
      <c r="J156">
        <f t="shared" si="18"/>
        <v>530.80999999999995</v>
      </c>
      <c r="L156">
        <f t="shared" si="19"/>
        <v>530.00434978869032</v>
      </c>
      <c r="N156">
        <f t="shared" si="20"/>
        <v>0.80597543771000346</v>
      </c>
    </row>
    <row r="157" spans="1:14" x14ac:dyDescent="0.3">
      <c r="A157">
        <v>14.5</v>
      </c>
      <c r="B157" s="2">
        <f t="shared" si="15"/>
        <v>461.49844250000001</v>
      </c>
      <c r="C157">
        <f t="shared" si="16"/>
        <v>461.5</v>
      </c>
      <c r="H157">
        <v>8.7499999999999805</v>
      </c>
      <c r="I157">
        <f t="shared" si="17"/>
        <v>530.00605957812536</v>
      </c>
      <c r="J157">
        <f t="shared" si="18"/>
        <v>530.01</v>
      </c>
      <c r="L157">
        <f t="shared" si="19"/>
        <v>529.20538045976593</v>
      </c>
      <c r="N157">
        <f t="shared" si="20"/>
        <v>0.80067911835942596</v>
      </c>
    </row>
    <row r="158" spans="1:14" x14ac:dyDescent="0.3">
      <c r="A158">
        <v>14.6</v>
      </c>
      <c r="B158" s="2">
        <f t="shared" si="15"/>
        <v>460.59812027839996</v>
      </c>
      <c r="C158">
        <f t="shared" si="16"/>
        <v>460.6</v>
      </c>
      <c r="H158">
        <v>8.7999999999999794</v>
      </c>
      <c r="I158">
        <f t="shared" si="17"/>
        <v>529.20687011840039</v>
      </c>
      <c r="J158">
        <f t="shared" si="18"/>
        <v>529.21</v>
      </c>
      <c r="L158">
        <f t="shared" si="19"/>
        <v>528.4114761030404</v>
      </c>
      <c r="N158">
        <f t="shared" si="20"/>
        <v>0.79539401535998877</v>
      </c>
    </row>
    <row r="159" spans="1:14" x14ac:dyDescent="0.3">
      <c r="A159">
        <v>14.7</v>
      </c>
      <c r="B159" s="2">
        <f t="shared" si="15"/>
        <v>459.70505679440009</v>
      </c>
      <c r="C159">
        <f t="shared" si="16"/>
        <v>459.71</v>
      </c>
      <c r="H159">
        <v>8.8499999999999801</v>
      </c>
      <c r="I159">
        <f t="shared" si="17"/>
        <v>528.41270735952537</v>
      </c>
      <c r="J159">
        <f t="shared" si="18"/>
        <v>528.41</v>
      </c>
      <c r="L159">
        <f t="shared" si="19"/>
        <v>527.62258642050597</v>
      </c>
      <c r="N159">
        <f t="shared" si="20"/>
        <v>0.79012093901940261</v>
      </c>
    </row>
    <row r="160" spans="1:14" x14ac:dyDescent="0.3">
      <c r="A160">
        <v>14.8</v>
      </c>
      <c r="B160" s="2">
        <f t="shared" si="15"/>
        <v>458.81920639040004</v>
      </c>
      <c r="C160">
        <f t="shared" si="16"/>
        <v>458.82</v>
      </c>
      <c r="H160">
        <v>8.8999999999999808</v>
      </c>
      <c r="I160">
        <f t="shared" si="17"/>
        <v>527.62352218640035</v>
      </c>
      <c r="J160">
        <f t="shared" si="18"/>
        <v>527.62</v>
      </c>
      <c r="L160">
        <f t="shared" si="19"/>
        <v>526.83866149829032</v>
      </c>
      <c r="N160">
        <f t="shared" si="20"/>
        <v>0.78486068811002951</v>
      </c>
    </row>
    <row r="161" spans="1:14" x14ac:dyDescent="0.3">
      <c r="A161">
        <v>14.9</v>
      </c>
      <c r="B161" s="2">
        <f t="shared" si="15"/>
        <v>457.94052937040004</v>
      </c>
      <c r="C161">
        <f t="shared" si="16"/>
        <v>457.94</v>
      </c>
      <c r="H161">
        <v>8.9499999999999797</v>
      </c>
      <c r="I161">
        <f t="shared" si="17"/>
        <v>526.83926585652534</v>
      </c>
      <c r="J161">
        <f t="shared" si="18"/>
        <v>526.84</v>
      </c>
      <c r="L161">
        <f t="shared" si="19"/>
        <v>526.05965180665601</v>
      </c>
      <c r="N161">
        <f t="shared" si="20"/>
        <v>0.77961404986933758</v>
      </c>
    </row>
    <row r="162" spans="1:14" x14ac:dyDescent="0.3">
      <c r="A162">
        <v>15</v>
      </c>
      <c r="B162" s="2">
        <f t="shared" si="15"/>
        <v>457.06899200000004</v>
      </c>
      <c r="C162">
        <f t="shared" si="16"/>
        <v>457.07</v>
      </c>
      <c r="H162">
        <v>8.9999999999999805</v>
      </c>
      <c r="I162">
        <f t="shared" si="17"/>
        <v>526.05989000000034</v>
      </c>
      <c r="J162">
        <f t="shared" si="18"/>
        <v>526.05999999999995</v>
      </c>
      <c r="L162">
        <f t="shared" si="19"/>
        <v>525.28550820000032</v>
      </c>
      <c r="N162">
        <f t="shared" si="20"/>
        <v>0.77438180000001466</v>
      </c>
    </row>
    <row r="163" spans="1:14" x14ac:dyDescent="0.3">
      <c r="A163">
        <v>15.1</v>
      </c>
      <c r="B163" s="2">
        <f t="shared" si="15"/>
        <v>456.20456650640006</v>
      </c>
      <c r="C163">
        <f t="shared" si="16"/>
        <v>456.2</v>
      </c>
      <c r="H163">
        <v>9.0499999999999794</v>
      </c>
      <c r="I163">
        <f t="shared" si="17"/>
        <v>525.2853466195254</v>
      </c>
      <c r="J163">
        <f t="shared" si="18"/>
        <v>525.29</v>
      </c>
      <c r="L163">
        <f t="shared" si="19"/>
        <v>524.51618191685588</v>
      </c>
      <c r="N163">
        <f t="shared" si="20"/>
        <v>0.76916470266951364</v>
      </c>
    </row>
    <row r="164" spans="1:14" x14ac:dyDescent="0.3">
      <c r="A164">
        <v>15.2</v>
      </c>
      <c r="B164" s="2">
        <f t="shared" si="15"/>
        <v>455.34723107840017</v>
      </c>
      <c r="C164">
        <f t="shared" si="16"/>
        <v>455.35</v>
      </c>
      <c r="H164">
        <v>9.0999999999999801</v>
      </c>
      <c r="I164">
        <f t="shared" si="17"/>
        <v>524.51558809040034</v>
      </c>
      <c r="J164">
        <f t="shared" si="18"/>
        <v>524.52</v>
      </c>
      <c r="L164">
        <f t="shared" si="19"/>
        <v>523.75162457989029</v>
      </c>
      <c r="N164">
        <f t="shared" si="20"/>
        <v>0.7639635105100524</v>
      </c>
    </row>
    <row r="165" spans="1:14" x14ac:dyDescent="0.3">
      <c r="A165">
        <v>15.3</v>
      </c>
      <c r="B165" s="2">
        <f t="shared" si="15"/>
        <v>454.49696986640004</v>
      </c>
      <c r="C165">
        <f t="shared" si="16"/>
        <v>454.5</v>
      </c>
      <c r="H165">
        <v>9.1499999999999808</v>
      </c>
      <c r="I165">
        <f t="shared" si="17"/>
        <v>523.75056716052541</v>
      </c>
      <c r="J165">
        <f t="shared" si="18"/>
        <v>523.75</v>
      </c>
      <c r="L165">
        <f t="shared" si="19"/>
        <v>522.991788195906</v>
      </c>
      <c r="N165">
        <f t="shared" si="20"/>
        <v>0.75877896461940963</v>
      </c>
    </row>
    <row r="166" spans="1:14" x14ac:dyDescent="0.3">
      <c r="A166">
        <v>15.4</v>
      </c>
      <c r="B166" s="2">
        <f t="shared" si="15"/>
        <v>453.65377298240003</v>
      </c>
      <c r="C166">
        <f t="shared" si="16"/>
        <v>453.65</v>
      </c>
      <c r="H166">
        <v>9.1999999999999797</v>
      </c>
      <c r="I166">
        <f t="shared" si="17"/>
        <v>522.99023695040023</v>
      </c>
      <c r="J166">
        <f t="shared" si="18"/>
        <v>522.99</v>
      </c>
      <c r="L166">
        <f t="shared" si="19"/>
        <v>522.23662515584033</v>
      </c>
      <c r="N166">
        <f t="shared" si="20"/>
        <v>0.75361179455990168</v>
      </c>
    </row>
    <row r="167" spans="1:14" x14ac:dyDescent="0.3">
      <c r="A167">
        <v>15.5</v>
      </c>
      <c r="B167" s="2">
        <f t="shared" si="15"/>
        <v>452.81763650000011</v>
      </c>
      <c r="C167">
        <f t="shared" si="16"/>
        <v>452.82</v>
      </c>
      <c r="H167">
        <v>9.2499999999999805</v>
      </c>
      <c r="I167">
        <f t="shared" si="17"/>
        <v>522.23455095312534</v>
      </c>
      <c r="J167">
        <f t="shared" si="18"/>
        <v>522.23</v>
      </c>
      <c r="L167">
        <f t="shared" si="19"/>
        <v>521.48608823476593</v>
      </c>
      <c r="N167">
        <f t="shared" si="20"/>
        <v>0.7484627183594057</v>
      </c>
    </row>
    <row r="168" spans="1:14" x14ac:dyDescent="0.3">
      <c r="A168">
        <v>15.6</v>
      </c>
      <c r="B168" s="2">
        <f t="shared" si="15"/>
        <v>451.98856245439993</v>
      </c>
      <c r="C168">
        <f t="shared" si="16"/>
        <v>451.99</v>
      </c>
      <c r="H168">
        <v>9.2999999999999794</v>
      </c>
      <c r="I168">
        <f t="shared" si="17"/>
        <v>521.4834630344003</v>
      </c>
      <c r="J168">
        <f t="shared" si="18"/>
        <v>521.48</v>
      </c>
      <c r="L168">
        <f t="shared" si="19"/>
        <v>520.74013059189019</v>
      </c>
      <c r="N168">
        <f t="shared" si="20"/>
        <v>0.7433324425101091</v>
      </c>
    </row>
    <row r="169" spans="1:14" x14ac:dyDescent="0.3">
      <c r="A169">
        <v>15.7</v>
      </c>
      <c r="B169" s="2">
        <f t="shared" si="15"/>
        <v>451.16655884240004</v>
      </c>
      <c r="C169">
        <f t="shared" si="16"/>
        <v>451.17</v>
      </c>
      <c r="H169">
        <v>9.3499999999999801</v>
      </c>
      <c r="I169">
        <f t="shared" si="17"/>
        <v>520.73692743252536</v>
      </c>
      <c r="J169">
        <f t="shared" si="18"/>
        <v>520.74</v>
      </c>
      <c r="L169">
        <f t="shared" si="19"/>
        <v>519.99870577055594</v>
      </c>
      <c r="N169">
        <f t="shared" si="20"/>
        <v>0.73822166196941907</v>
      </c>
    </row>
    <row r="170" spans="1:14" x14ac:dyDescent="0.3">
      <c r="A170">
        <v>15.8</v>
      </c>
      <c r="B170" s="2">
        <f t="shared" si="15"/>
        <v>450.35163962239994</v>
      </c>
      <c r="C170">
        <f t="shared" si="16"/>
        <v>450.35</v>
      </c>
      <c r="H170">
        <v>9.3999999999999808</v>
      </c>
      <c r="I170">
        <f t="shared" si="17"/>
        <v>519.99489875840027</v>
      </c>
      <c r="J170">
        <f t="shared" si="18"/>
        <v>519.99</v>
      </c>
      <c r="L170">
        <f t="shared" si="19"/>
        <v>519.26176769824042</v>
      </c>
      <c r="N170">
        <f t="shared" si="20"/>
        <v>0.73313106015984886</v>
      </c>
    </row>
    <row r="171" spans="1:14" x14ac:dyDescent="0.3">
      <c r="A171">
        <v>15.9</v>
      </c>
      <c r="B171" s="2">
        <f t="shared" ref="B171:B202" si="21" xml:space="preserve"> 0.002484*A171^4 - 0.153172*A171^3 + 3.894909*A171^2 - 55.669943*A171 + 806.966612</f>
        <v>449.54382471439999</v>
      </c>
      <c r="C171">
        <f t="shared" ref="C171:C202" si="22">ROUND(B171,2)</f>
        <v>449.54</v>
      </c>
      <c r="H171">
        <v>9.4499999999999797</v>
      </c>
      <c r="I171">
        <f t="shared" ref="I171:I234" si="23" xml:space="preserve"> 0.002484*H171^4 - 0.153172*H171^3 + 3.894909*H171^2 - 55.669943*H171 + 806.966612</f>
        <v>519.25733199552531</v>
      </c>
      <c r="J171">
        <f t="shared" ref="J171:J234" si="24">ROUND(I171,2)</f>
        <v>519.26</v>
      </c>
      <c r="L171">
        <f t="shared" ref="L171:L234" si="25">0.0025609*H171^4-0.1569516*H171^3+3.9565541*H171^2-55.9808564*H171+806.2479852</f>
        <v>518.52927068655595</v>
      </c>
      <c r="N171">
        <f t="shared" ref="N171:N234" si="26">I171-L171</f>
        <v>0.72806130896935883</v>
      </c>
    </row>
    <row r="172" spans="1:14" x14ac:dyDescent="0.3">
      <c r="A172">
        <v>16</v>
      </c>
      <c r="B172" s="2">
        <f t="shared" si="21"/>
        <v>448.74314000000004</v>
      </c>
      <c r="C172">
        <f t="shared" si="22"/>
        <v>448.74</v>
      </c>
      <c r="H172">
        <v>9.4999999999999805</v>
      </c>
      <c r="I172">
        <f t="shared" si="23"/>
        <v>518.52418250000039</v>
      </c>
      <c r="J172">
        <f t="shared" si="24"/>
        <v>518.52</v>
      </c>
      <c r="L172">
        <f t="shared" si="25"/>
        <v>517.80116943125029</v>
      </c>
      <c r="N172">
        <f t="shared" si="26"/>
        <v>0.72301306875010596</v>
      </c>
    </row>
    <row r="173" spans="1:14" x14ac:dyDescent="0.3">
      <c r="A173">
        <v>16.100000000000001</v>
      </c>
      <c r="B173" s="2">
        <f t="shared" si="21"/>
        <v>447.94961732240006</v>
      </c>
      <c r="C173">
        <f t="shared" si="22"/>
        <v>447.95</v>
      </c>
      <c r="H173">
        <v>9.5499999999999794</v>
      </c>
      <c r="I173">
        <f t="shared" si="23"/>
        <v>517.79540600052542</v>
      </c>
      <c r="J173">
        <f t="shared" si="24"/>
        <v>517.79999999999995</v>
      </c>
      <c r="L173">
        <f t="shared" si="25"/>
        <v>517.07741901220584</v>
      </c>
      <c r="N173">
        <f t="shared" si="26"/>
        <v>0.71798698831958063</v>
      </c>
    </row>
    <row r="174" spans="1:14" x14ac:dyDescent="0.3">
      <c r="A174">
        <v>16.2</v>
      </c>
      <c r="B174" s="2">
        <f t="shared" si="21"/>
        <v>447.1632944864001</v>
      </c>
      <c r="C174">
        <f t="shared" si="22"/>
        <v>447.16</v>
      </c>
      <c r="H174">
        <v>9.5999999999999801</v>
      </c>
      <c r="I174">
        <f t="shared" si="23"/>
        <v>517.07095859840024</v>
      </c>
      <c r="J174">
        <f t="shared" si="24"/>
        <v>517.07000000000005</v>
      </c>
      <c r="L174">
        <f t="shared" si="25"/>
        <v>516.35797489344031</v>
      </c>
      <c r="N174">
        <f t="shared" si="26"/>
        <v>0.71298370495992458</v>
      </c>
    </row>
    <row r="175" spans="1:14" x14ac:dyDescent="0.3">
      <c r="A175">
        <v>16.3</v>
      </c>
      <c r="B175" s="2">
        <f t="shared" si="21"/>
        <v>446.38421525839999</v>
      </c>
      <c r="C175">
        <f t="shared" si="22"/>
        <v>446.38</v>
      </c>
      <c r="H175">
        <v>9.6499999999999808</v>
      </c>
      <c r="I175">
        <f t="shared" si="23"/>
        <v>516.35079676752537</v>
      </c>
      <c r="J175">
        <f t="shared" si="24"/>
        <v>516.35</v>
      </c>
      <c r="L175">
        <f t="shared" si="25"/>
        <v>515.64279292310596</v>
      </c>
      <c r="N175">
        <f t="shared" si="26"/>
        <v>0.70800384441940878</v>
      </c>
    </row>
    <row r="176" spans="1:14" x14ac:dyDescent="0.3">
      <c r="A176">
        <v>16.399999999999999</v>
      </c>
      <c r="B176" s="2">
        <f t="shared" si="21"/>
        <v>445.61242936639997</v>
      </c>
      <c r="C176">
        <f t="shared" si="22"/>
        <v>445.61</v>
      </c>
      <c r="H176">
        <v>9.6999999999999797</v>
      </c>
      <c r="I176">
        <f t="shared" si="23"/>
        <v>515.63487735440037</v>
      </c>
      <c r="J176">
        <f t="shared" si="24"/>
        <v>515.63</v>
      </c>
      <c r="L176">
        <f t="shared" si="25"/>
        <v>514.93182933349033</v>
      </c>
      <c r="N176">
        <f t="shared" si="26"/>
        <v>0.70304802091004603</v>
      </c>
    </row>
    <row r="177" spans="1:14" x14ac:dyDescent="0.3">
      <c r="A177">
        <v>16.5</v>
      </c>
      <c r="B177" s="2">
        <f t="shared" si="21"/>
        <v>444.84799250000003</v>
      </c>
      <c r="C177">
        <f t="shared" si="22"/>
        <v>444.85</v>
      </c>
      <c r="H177">
        <v>9.7499999999999805</v>
      </c>
      <c r="I177">
        <f t="shared" si="23"/>
        <v>514.92315757812537</v>
      </c>
      <c r="J177">
        <f t="shared" si="24"/>
        <v>514.91999999999996</v>
      </c>
      <c r="L177">
        <f t="shared" si="25"/>
        <v>514.22504074101585</v>
      </c>
      <c r="N177">
        <f t="shared" si="26"/>
        <v>0.69811683710952366</v>
      </c>
    </row>
    <row r="178" spans="1:14" x14ac:dyDescent="0.3">
      <c r="A178">
        <v>16.600000000000001</v>
      </c>
      <c r="B178" s="2">
        <f t="shared" si="21"/>
        <v>444.09096631040018</v>
      </c>
      <c r="C178">
        <f t="shared" si="22"/>
        <v>444.09</v>
      </c>
      <c r="H178">
        <v>9.7999999999999794</v>
      </c>
      <c r="I178">
        <f t="shared" si="23"/>
        <v>514.21559503040021</v>
      </c>
      <c r="J178">
        <f t="shared" si="24"/>
        <v>514.22</v>
      </c>
      <c r="L178">
        <f t="shared" si="25"/>
        <v>513.52238414624026</v>
      </c>
      <c r="N178">
        <f t="shared" si="26"/>
        <v>0.69321088415995291</v>
      </c>
    </row>
    <row r="179" spans="1:14" x14ac:dyDescent="0.3">
      <c r="A179">
        <v>16.7</v>
      </c>
      <c r="B179" s="2">
        <f t="shared" si="21"/>
        <v>443.34141841040002</v>
      </c>
      <c r="C179">
        <f t="shared" si="22"/>
        <v>443.34</v>
      </c>
      <c r="H179">
        <v>9.8499999999999801</v>
      </c>
      <c r="I179">
        <f t="shared" si="23"/>
        <v>513.51214767552528</v>
      </c>
      <c r="J179">
        <f t="shared" si="24"/>
        <v>513.51</v>
      </c>
      <c r="L179">
        <f t="shared" si="25"/>
        <v>512.82381693385582</v>
      </c>
      <c r="N179">
        <f t="shared" si="26"/>
        <v>0.68833074166946062</v>
      </c>
    </row>
    <row r="180" spans="1:14" x14ac:dyDescent="0.3">
      <c r="A180">
        <v>16.8</v>
      </c>
      <c r="B180" s="2">
        <f t="shared" si="21"/>
        <v>442.59942237439998</v>
      </c>
      <c r="C180">
        <f t="shared" si="22"/>
        <v>442.6</v>
      </c>
      <c r="H180">
        <v>9.8999999999999808</v>
      </c>
      <c r="I180">
        <f t="shared" si="23"/>
        <v>512.81277385040028</v>
      </c>
      <c r="J180">
        <f t="shared" si="24"/>
        <v>512.80999999999995</v>
      </c>
      <c r="L180">
        <f t="shared" si="25"/>
        <v>512.12929687269025</v>
      </c>
      <c r="N180">
        <f t="shared" si="26"/>
        <v>0.68347697771002913</v>
      </c>
    </row>
    <row r="181" spans="1:14" x14ac:dyDescent="0.3">
      <c r="A181">
        <v>16.899999999999999</v>
      </c>
      <c r="B181" s="2">
        <f t="shared" si="21"/>
        <v>441.86505773840008</v>
      </c>
      <c r="C181">
        <f t="shared" si="22"/>
        <v>441.87</v>
      </c>
      <c r="H181">
        <v>9.9499999999999797</v>
      </c>
      <c r="I181">
        <f t="shared" si="23"/>
        <v>512.11743226452541</v>
      </c>
      <c r="J181">
        <f t="shared" si="24"/>
        <v>512.12</v>
      </c>
      <c r="L181">
        <f t="shared" si="25"/>
        <v>511.43878211570598</v>
      </c>
      <c r="N181">
        <f t="shared" si="26"/>
        <v>0.67865014881942898</v>
      </c>
    </row>
    <row r="182" spans="1:14" x14ac:dyDescent="0.3">
      <c r="A182">
        <v>17</v>
      </c>
      <c r="B182" s="2">
        <f t="shared" si="21"/>
        <v>441.13841000000014</v>
      </c>
      <c r="C182">
        <f t="shared" si="22"/>
        <v>441.14</v>
      </c>
      <c r="H182">
        <v>9.9999999999999805</v>
      </c>
      <c r="I182">
        <f t="shared" si="23"/>
        <v>511.42608200000029</v>
      </c>
      <c r="J182">
        <f t="shared" si="24"/>
        <v>511.43</v>
      </c>
      <c r="L182">
        <f t="shared" si="25"/>
        <v>510.75223120000027</v>
      </c>
      <c r="N182">
        <f t="shared" si="26"/>
        <v>0.67385080000002517</v>
      </c>
    </row>
    <row r="183" spans="1:14" x14ac:dyDescent="0.3">
      <c r="A183">
        <v>17.100000000000001</v>
      </c>
      <c r="B183" s="2">
        <f t="shared" si="21"/>
        <v>440.41957061839992</v>
      </c>
      <c r="C183">
        <f t="shared" si="22"/>
        <v>440.42</v>
      </c>
      <c r="H183">
        <v>10.050000000000001</v>
      </c>
      <c r="I183">
        <f t="shared" si="23"/>
        <v>510.7386825115251</v>
      </c>
      <c r="J183">
        <f t="shared" si="24"/>
        <v>510.74</v>
      </c>
      <c r="L183">
        <f t="shared" si="25"/>
        <v>510.0696030468057</v>
      </c>
      <c r="N183">
        <f t="shared" si="26"/>
        <v>0.66907946471940249</v>
      </c>
    </row>
    <row r="184" spans="1:14" x14ac:dyDescent="0.3">
      <c r="A184">
        <v>17.2</v>
      </c>
      <c r="B184" s="2">
        <f t="shared" si="21"/>
        <v>439.70863701440021</v>
      </c>
      <c r="C184">
        <f t="shared" si="22"/>
        <v>439.71</v>
      </c>
      <c r="H184">
        <v>10.1</v>
      </c>
      <c r="I184">
        <f t="shared" si="23"/>
        <v>510.05519362640001</v>
      </c>
      <c r="J184">
        <f t="shared" si="24"/>
        <v>510.06</v>
      </c>
      <c r="L184">
        <f t="shared" si="25"/>
        <v>509.39085696149004</v>
      </c>
      <c r="N184">
        <f t="shared" si="26"/>
        <v>0.66433666490996757</v>
      </c>
    </row>
    <row r="185" spans="1:14" x14ac:dyDescent="0.3">
      <c r="A185">
        <v>17.3</v>
      </c>
      <c r="B185" s="2">
        <f t="shared" si="21"/>
        <v>439.00571257039996</v>
      </c>
      <c r="C185">
        <f t="shared" si="22"/>
        <v>439.01</v>
      </c>
      <c r="H185">
        <v>10.15</v>
      </c>
      <c r="I185">
        <f t="shared" si="23"/>
        <v>509.37557554452502</v>
      </c>
      <c r="J185">
        <f t="shared" si="24"/>
        <v>509.38</v>
      </c>
      <c r="L185">
        <f t="shared" si="25"/>
        <v>508.71595263355562</v>
      </c>
      <c r="N185">
        <f t="shared" si="26"/>
        <v>0.65962291096940362</v>
      </c>
    </row>
    <row r="186" spans="1:14" x14ac:dyDescent="0.3">
      <c r="A186">
        <v>17.399999999999999</v>
      </c>
      <c r="B186" s="2">
        <f t="shared" si="21"/>
        <v>438.31090663039993</v>
      </c>
      <c r="C186">
        <f t="shared" si="22"/>
        <v>438.31</v>
      </c>
      <c r="H186">
        <v>10.199999999999999</v>
      </c>
      <c r="I186">
        <f t="shared" si="23"/>
        <v>508.69978883840014</v>
      </c>
      <c r="J186">
        <f t="shared" si="24"/>
        <v>508.7</v>
      </c>
      <c r="L186">
        <f t="shared" si="25"/>
        <v>508.04485013664004</v>
      </c>
      <c r="N186">
        <f t="shared" si="26"/>
        <v>0.65493870176010205</v>
      </c>
    </row>
    <row r="187" spans="1:14" x14ac:dyDescent="0.3">
      <c r="A187">
        <v>17.5</v>
      </c>
      <c r="B187" s="2">
        <f t="shared" si="21"/>
        <v>437.62433450000003</v>
      </c>
      <c r="C187">
        <f t="shared" si="22"/>
        <v>437.62</v>
      </c>
      <c r="H187">
        <v>10.25</v>
      </c>
      <c r="I187">
        <f t="shared" si="23"/>
        <v>508.02779445312501</v>
      </c>
      <c r="J187">
        <f t="shared" si="24"/>
        <v>508.03</v>
      </c>
      <c r="L187">
        <f t="shared" si="25"/>
        <v>507.37750992851556</v>
      </c>
      <c r="N187">
        <f t="shared" si="26"/>
        <v>0.65028452460944663</v>
      </c>
    </row>
    <row r="188" spans="1:14" x14ac:dyDescent="0.3">
      <c r="A188">
        <v>17.600000000000001</v>
      </c>
      <c r="B188" s="2">
        <f t="shared" si="21"/>
        <v>436.94611744639985</v>
      </c>
      <c r="C188">
        <f t="shared" si="22"/>
        <v>436.95</v>
      </c>
      <c r="H188">
        <v>10.3</v>
      </c>
      <c r="I188">
        <f t="shared" si="23"/>
        <v>507.35955370639999</v>
      </c>
      <c r="J188">
        <f t="shared" si="24"/>
        <v>507.36</v>
      </c>
      <c r="L188">
        <f t="shared" si="25"/>
        <v>506.71389285109001</v>
      </c>
      <c r="N188">
        <f t="shared" si="26"/>
        <v>0.64566085530998407</v>
      </c>
    </row>
    <row r="189" spans="1:14" x14ac:dyDescent="0.3">
      <c r="A189">
        <v>17.7</v>
      </c>
      <c r="B189" s="2">
        <f t="shared" si="21"/>
        <v>436.27638269839986</v>
      </c>
      <c r="C189">
        <f t="shared" si="22"/>
        <v>436.28</v>
      </c>
      <c r="H189">
        <v>10.35</v>
      </c>
      <c r="I189">
        <f t="shared" si="23"/>
        <v>506.69502828852507</v>
      </c>
      <c r="J189">
        <f t="shared" si="24"/>
        <v>506.7</v>
      </c>
      <c r="L189">
        <f t="shared" si="25"/>
        <v>506.0539601304057</v>
      </c>
      <c r="N189">
        <f t="shared" si="26"/>
        <v>0.64106815811936713</v>
      </c>
    </row>
    <row r="190" spans="1:14" x14ac:dyDescent="0.3">
      <c r="A190">
        <v>17.8</v>
      </c>
      <c r="B190" s="2">
        <f t="shared" si="21"/>
        <v>435.61526344640026</v>
      </c>
      <c r="C190">
        <f t="shared" si="22"/>
        <v>435.62</v>
      </c>
      <c r="H190">
        <v>10.4</v>
      </c>
      <c r="I190">
        <f t="shared" si="23"/>
        <v>506.03418026240001</v>
      </c>
      <c r="J190">
        <f t="shared" si="24"/>
        <v>506.03</v>
      </c>
      <c r="L190">
        <f t="shared" si="25"/>
        <v>505.39767337664</v>
      </c>
      <c r="N190">
        <f t="shared" si="26"/>
        <v>0.63650688576001357</v>
      </c>
    </row>
    <row r="191" spans="1:14" x14ac:dyDescent="0.3">
      <c r="A191">
        <v>17.899999999999999</v>
      </c>
      <c r="B191" s="2">
        <f t="shared" si="21"/>
        <v>434.96289884240002</v>
      </c>
      <c r="C191">
        <f t="shared" si="22"/>
        <v>434.96</v>
      </c>
      <c r="H191">
        <v>10.45</v>
      </c>
      <c r="I191">
        <f t="shared" si="23"/>
        <v>505.37697206352505</v>
      </c>
      <c r="J191">
        <f t="shared" si="24"/>
        <v>505.38</v>
      </c>
      <c r="L191">
        <f t="shared" si="25"/>
        <v>504.7449945841056</v>
      </c>
      <c r="N191">
        <f t="shared" si="26"/>
        <v>0.63197747941944726</v>
      </c>
    </row>
    <row r="192" spans="1:14" x14ac:dyDescent="0.3">
      <c r="A192">
        <v>18</v>
      </c>
      <c r="B192" s="2">
        <f t="shared" si="21"/>
        <v>434.31943400000011</v>
      </c>
      <c r="C192">
        <f t="shared" si="22"/>
        <v>434.32</v>
      </c>
      <c r="H192">
        <v>10.5</v>
      </c>
      <c r="I192">
        <f t="shared" si="23"/>
        <v>504.7233665</v>
      </c>
      <c r="J192">
        <f t="shared" si="24"/>
        <v>504.72</v>
      </c>
      <c r="L192">
        <f t="shared" si="25"/>
        <v>504.09588613124998</v>
      </c>
      <c r="N192">
        <f t="shared" si="26"/>
        <v>0.62748036875001389</v>
      </c>
    </row>
    <row r="193" spans="1:14" x14ac:dyDescent="0.3">
      <c r="A193">
        <v>18.100000000000001</v>
      </c>
      <c r="B193" s="2">
        <f t="shared" si="21"/>
        <v>433.68501999439991</v>
      </c>
      <c r="C193">
        <f t="shared" si="22"/>
        <v>433.69</v>
      </c>
      <c r="H193">
        <v>10.55</v>
      </c>
      <c r="I193">
        <f t="shared" si="23"/>
        <v>504.07332675252502</v>
      </c>
      <c r="J193">
        <f t="shared" si="24"/>
        <v>504.07</v>
      </c>
      <c r="L193">
        <f t="shared" si="25"/>
        <v>503.45031078065563</v>
      </c>
      <c r="N193">
        <f t="shared" si="26"/>
        <v>0.62301597186939262</v>
      </c>
    </row>
    <row r="194" spans="1:14" x14ac:dyDescent="0.3">
      <c r="A194">
        <v>18.2</v>
      </c>
      <c r="B194" s="2">
        <f t="shared" si="21"/>
        <v>433.05981386239989</v>
      </c>
      <c r="C194">
        <f t="shared" si="22"/>
        <v>433.06</v>
      </c>
      <c r="H194">
        <v>10.6</v>
      </c>
      <c r="I194">
        <f t="shared" si="23"/>
        <v>503.42681637440012</v>
      </c>
      <c r="J194">
        <f t="shared" si="24"/>
        <v>503.43</v>
      </c>
      <c r="L194">
        <f t="shared" si="25"/>
        <v>502.80823167904009</v>
      </c>
      <c r="N194">
        <f t="shared" si="26"/>
        <v>0.61858469536002758</v>
      </c>
    </row>
    <row r="195" spans="1:14" x14ac:dyDescent="0.3">
      <c r="A195">
        <v>18.3</v>
      </c>
      <c r="B195" s="2">
        <f t="shared" si="21"/>
        <v>432.44397860240008</v>
      </c>
      <c r="C195">
        <f t="shared" si="22"/>
        <v>432.44</v>
      </c>
      <c r="H195">
        <v>10.65</v>
      </c>
      <c r="I195">
        <f t="shared" si="23"/>
        <v>502.78379929152493</v>
      </c>
      <c r="J195">
        <f t="shared" si="24"/>
        <v>502.78</v>
      </c>
      <c r="L195">
        <f t="shared" si="25"/>
        <v>502.16961235725569</v>
      </c>
      <c r="N195">
        <f t="shared" si="26"/>
        <v>0.61418693426924165</v>
      </c>
    </row>
    <row r="196" spans="1:14" x14ac:dyDescent="0.3">
      <c r="A196">
        <v>18.399999999999999</v>
      </c>
      <c r="B196" s="2">
        <f t="shared" si="21"/>
        <v>431.83768317440024</v>
      </c>
      <c r="C196">
        <f t="shared" si="22"/>
        <v>431.84</v>
      </c>
      <c r="H196">
        <v>10.7</v>
      </c>
      <c r="I196">
        <f t="shared" si="23"/>
        <v>502.14423980240002</v>
      </c>
      <c r="J196">
        <f t="shared" si="24"/>
        <v>502.14</v>
      </c>
      <c r="L196">
        <f t="shared" si="25"/>
        <v>501.53441673028999</v>
      </c>
      <c r="N196">
        <f t="shared" si="26"/>
        <v>0.60982307211003217</v>
      </c>
    </row>
    <row r="197" spans="1:14" x14ac:dyDescent="0.3">
      <c r="A197">
        <v>18.5</v>
      </c>
      <c r="B197" s="2">
        <f t="shared" si="21"/>
        <v>431.24110250000001</v>
      </c>
      <c r="C197">
        <f t="shared" si="22"/>
        <v>431.24</v>
      </c>
      <c r="H197">
        <v>10.75</v>
      </c>
      <c r="I197">
        <f t="shared" si="23"/>
        <v>501.50810257812503</v>
      </c>
      <c r="J197">
        <f t="shared" si="24"/>
        <v>501.51</v>
      </c>
      <c r="L197">
        <f t="shared" si="25"/>
        <v>500.90260909726555</v>
      </c>
      <c r="N197">
        <f t="shared" si="26"/>
        <v>0.6054934808594794</v>
      </c>
    </row>
    <row r="198" spans="1:14" x14ac:dyDescent="0.3">
      <c r="A198">
        <v>18.600000000000001</v>
      </c>
      <c r="B198" s="2">
        <f t="shared" si="21"/>
        <v>430.65441746239969</v>
      </c>
      <c r="C198">
        <f t="shared" si="22"/>
        <v>430.65</v>
      </c>
      <c r="H198">
        <v>10.8</v>
      </c>
      <c r="I198">
        <f t="shared" si="23"/>
        <v>500.87535266240008</v>
      </c>
      <c r="J198">
        <f t="shared" si="24"/>
        <v>500.88</v>
      </c>
      <c r="L198">
        <f t="shared" si="25"/>
        <v>500.27415414144002</v>
      </c>
      <c r="N198">
        <f t="shared" si="26"/>
        <v>0.60119852096005388</v>
      </c>
    </row>
    <row r="199" spans="1:14" x14ac:dyDescent="0.3">
      <c r="A199">
        <v>18.7</v>
      </c>
      <c r="B199" s="2">
        <f t="shared" si="21"/>
        <v>430.07781490640002</v>
      </c>
      <c r="C199">
        <f t="shared" si="22"/>
        <v>430.08</v>
      </c>
      <c r="H199">
        <v>10.85</v>
      </c>
      <c r="I199">
        <f t="shared" si="23"/>
        <v>500.24595547152501</v>
      </c>
      <c r="J199">
        <f t="shared" si="24"/>
        <v>500.25</v>
      </c>
      <c r="L199">
        <f t="shared" si="25"/>
        <v>499.64901693020568</v>
      </c>
      <c r="N199">
        <f t="shared" si="26"/>
        <v>0.59693854131933222</v>
      </c>
    </row>
    <row r="200" spans="1:14" x14ac:dyDescent="0.3">
      <c r="A200">
        <v>18.8</v>
      </c>
      <c r="B200" s="2">
        <f t="shared" si="21"/>
        <v>429.51148763840013</v>
      </c>
      <c r="C200">
        <f t="shared" si="22"/>
        <v>429.51</v>
      </c>
      <c r="H200">
        <v>10.9</v>
      </c>
      <c r="I200">
        <f t="shared" si="23"/>
        <v>499.6198767944</v>
      </c>
      <c r="J200">
        <f t="shared" si="24"/>
        <v>499.62</v>
      </c>
      <c r="L200">
        <f t="shared" si="25"/>
        <v>499.02716291509</v>
      </c>
      <c r="N200">
        <f t="shared" si="26"/>
        <v>0.59271387930999708</v>
      </c>
    </row>
    <row r="201" spans="1:14" x14ac:dyDescent="0.3">
      <c r="A201">
        <v>18.899999999999999</v>
      </c>
      <c r="B201" s="2">
        <f t="shared" si="21"/>
        <v>428.95563442640002</v>
      </c>
      <c r="C201">
        <f t="shared" si="22"/>
        <v>428.96</v>
      </c>
      <c r="H201">
        <v>10.95</v>
      </c>
      <c r="I201">
        <f t="shared" si="23"/>
        <v>498.99708279252502</v>
      </c>
      <c r="J201">
        <f t="shared" si="24"/>
        <v>499</v>
      </c>
      <c r="L201">
        <f t="shared" si="25"/>
        <v>498.40855793175564</v>
      </c>
      <c r="N201">
        <f t="shared" si="26"/>
        <v>0.58852486076938249</v>
      </c>
    </row>
    <row r="202" spans="1:14" x14ac:dyDescent="0.3">
      <c r="A202">
        <v>19</v>
      </c>
      <c r="B202" s="2">
        <f t="shared" si="21"/>
        <v>428.41046000000017</v>
      </c>
      <c r="C202">
        <f t="shared" si="22"/>
        <v>428.41</v>
      </c>
      <c r="H202">
        <v>11</v>
      </c>
      <c r="I202">
        <f t="shared" si="23"/>
        <v>498.37754000000007</v>
      </c>
      <c r="J202">
        <f t="shared" si="24"/>
        <v>498.38</v>
      </c>
      <c r="L202">
        <f t="shared" si="25"/>
        <v>497.79316819999997</v>
      </c>
      <c r="N202">
        <f t="shared" si="26"/>
        <v>0.58437180000009903</v>
      </c>
    </row>
    <row r="203" spans="1:14" x14ac:dyDescent="0.3">
      <c r="H203">
        <v>11.05</v>
      </c>
      <c r="I203">
        <f t="shared" si="23"/>
        <v>497.76121532352499</v>
      </c>
      <c r="J203">
        <f t="shared" si="24"/>
        <v>497.76</v>
      </c>
      <c r="L203">
        <f t="shared" si="25"/>
        <v>497.1809603237557</v>
      </c>
      <c r="N203">
        <f t="shared" si="26"/>
        <v>0.58025499976929495</v>
      </c>
    </row>
    <row r="204" spans="1:14" x14ac:dyDescent="0.3">
      <c r="H204">
        <v>11.1</v>
      </c>
      <c r="I204">
        <f t="shared" si="23"/>
        <v>497.14807604240002</v>
      </c>
      <c r="J204">
        <f t="shared" si="24"/>
        <v>497.15</v>
      </c>
      <c r="L204">
        <f t="shared" si="25"/>
        <v>496.57190129109006</v>
      </c>
      <c r="N204">
        <f t="shared" si="26"/>
        <v>0.57617475130996354</v>
      </c>
    </row>
    <row r="205" spans="1:14" x14ac:dyDescent="0.3">
      <c r="H205">
        <v>11.15</v>
      </c>
      <c r="I205">
        <f t="shared" si="23"/>
        <v>496.53808980852506</v>
      </c>
      <c r="J205">
        <f t="shared" si="24"/>
        <v>496.54</v>
      </c>
      <c r="L205">
        <f t="shared" si="25"/>
        <v>495.96595847420565</v>
      </c>
      <c r="N205">
        <f t="shared" si="26"/>
        <v>0.57213133431940832</v>
      </c>
    </row>
    <row r="206" spans="1:14" x14ac:dyDescent="0.3">
      <c r="H206">
        <v>11.2</v>
      </c>
      <c r="I206">
        <f t="shared" si="23"/>
        <v>495.9312246464001</v>
      </c>
      <c r="J206">
        <f t="shared" si="24"/>
        <v>495.93</v>
      </c>
      <c r="L206">
        <f t="shared" si="25"/>
        <v>495.36309962944006</v>
      </c>
      <c r="N206">
        <f t="shared" si="26"/>
        <v>0.56812501696003892</v>
      </c>
    </row>
    <row r="207" spans="1:14" x14ac:dyDescent="0.3">
      <c r="H207">
        <v>11.25</v>
      </c>
      <c r="I207">
        <f t="shared" si="23"/>
        <v>495.32744895312499</v>
      </c>
      <c r="J207">
        <f t="shared" si="24"/>
        <v>495.33</v>
      </c>
      <c r="L207">
        <f t="shared" si="25"/>
        <v>494.76329289726556</v>
      </c>
      <c r="N207">
        <f t="shared" si="26"/>
        <v>0.56415605585942785</v>
      </c>
    </row>
    <row r="208" spans="1:14" x14ac:dyDescent="0.3">
      <c r="H208">
        <v>11.3</v>
      </c>
      <c r="I208">
        <f t="shared" si="23"/>
        <v>494.7267314984</v>
      </c>
      <c r="J208">
        <f t="shared" si="24"/>
        <v>494.73</v>
      </c>
      <c r="L208">
        <f t="shared" si="25"/>
        <v>494.16650680229009</v>
      </c>
      <c r="N208">
        <f t="shared" si="26"/>
        <v>0.56022469610991266</v>
      </c>
    </row>
    <row r="209" spans="8:14" x14ac:dyDescent="0.3">
      <c r="H209">
        <v>11.35</v>
      </c>
      <c r="I209">
        <f t="shared" si="23"/>
        <v>494.1290414245251</v>
      </c>
      <c r="J209">
        <f t="shared" si="24"/>
        <v>494.13</v>
      </c>
      <c r="L209">
        <f t="shared" si="25"/>
        <v>493.57271025325565</v>
      </c>
      <c r="N209">
        <f t="shared" si="26"/>
        <v>0.55633117126944853</v>
      </c>
    </row>
    <row r="210" spans="8:14" x14ac:dyDescent="0.3">
      <c r="H210">
        <v>11.4</v>
      </c>
      <c r="I210">
        <f t="shared" si="23"/>
        <v>493.53434824640004</v>
      </c>
      <c r="J210">
        <f t="shared" si="24"/>
        <v>493.53</v>
      </c>
      <c r="L210">
        <f t="shared" si="25"/>
        <v>492.98187254304003</v>
      </c>
      <c r="N210">
        <f t="shared" si="26"/>
        <v>0.55247570336001672</v>
      </c>
    </row>
    <row r="211" spans="8:14" x14ac:dyDescent="0.3">
      <c r="H211">
        <v>11.45</v>
      </c>
      <c r="I211">
        <f t="shared" si="23"/>
        <v>492.94262185152508</v>
      </c>
      <c r="J211">
        <f t="shared" si="24"/>
        <v>492.94</v>
      </c>
      <c r="L211">
        <f t="shared" si="25"/>
        <v>492.39396334865563</v>
      </c>
      <c r="N211">
        <f t="shared" si="26"/>
        <v>0.54865850286944351</v>
      </c>
    </row>
    <row r="212" spans="8:14" x14ac:dyDescent="0.3">
      <c r="H212">
        <v>11.5</v>
      </c>
      <c r="I212">
        <f t="shared" si="23"/>
        <v>492.35383249999995</v>
      </c>
      <c r="J212">
        <f t="shared" si="24"/>
        <v>492.35</v>
      </c>
      <c r="L212">
        <f t="shared" si="25"/>
        <v>491.80895273124997</v>
      </c>
      <c r="N212">
        <f t="shared" si="26"/>
        <v>0.54487976874997912</v>
      </c>
    </row>
    <row r="213" spans="8:14" x14ac:dyDescent="0.3">
      <c r="H213">
        <v>11.55</v>
      </c>
      <c r="I213">
        <f t="shared" si="23"/>
        <v>491.76795082452497</v>
      </c>
      <c r="J213">
        <f t="shared" si="24"/>
        <v>491.77</v>
      </c>
      <c r="L213">
        <f t="shared" si="25"/>
        <v>491.22681113610565</v>
      </c>
      <c r="N213">
        <f t="shared" si="26"/>
        <v>0.54113968841932092</v>
      </c>
    </row>
    <row r="214" spans="8:14" x14ac:dyDescent="0.3">
      <c r="H214">
        <v>11.6</v>
      </c>
      <c r="I214">
        <f t="shared" si="23"/>
        <v>491.18494783040018</v>
      </c>
      <c r="J214">
        <f t="shared" si="24"/>
        <v>491.18</v>
      </c>
      <c r="L214">
        <f t="shared" si="25"/>
        <v>490.64750939264013</v>
      </c>
      <c r="N214">
        <f t="shared" si="26"/>
        <v>0.53743843776004496</v>
      </c>
    </row>
    <row r="215" spans="8:14" x14ac:dyDescent="0.3">
      <c r="H215">
        <v>11.65</v>
      </c>
      <c r="I215">
        <f t="shared" si="23"/>
        <v>490.604794895525</v>
      </c>
      <c r="J215">
        <f t="shared" si="24"/>
        <v>490.6</v>
      </c>
      <c r="L215">
        <f t="shared" si="25"/>
        <v>490.07101871440557</v>
      </c>
      <c r="N215">
        <f t="shared" si="26"/>
        <v>0.53377618111943548</v>
      </c>
    </row>
    <row r="216" spans="8:14" x14ac:dyDescent="0.3">
      <c r="H216">
        <v>11.7</v>
      </c>
      <c r="I216">
        <f t="shared" si="23"/>
        <v>490.02746377040006</v>
      </c>
      <c r="J216">
        <f t="shared" si="24"/>
        <v>490.03</v>
      </c>
      <c r="L216">
        <f t="shared" si="25"/>
        <v>489.49731069909001</v>
      </c>
      <c r="N216">
        <f t="shared" si="26"/>
        <v>0.53015307131005329</v>
      </c>
    </row>
    <row r="217" spans="8:14" x14ac:dyDescent="0.3">
      <c r="H217">
        <v>11.75</v>
      </c>
      <c r="I217">
        <f t="shared" si="23"/>
        <v>489.45292657812502</v>
      </c>
      <c r="J217">
        <f t="shared" si="24"/>
        <v>489.45</v>
      </c>
      <c r="L217">
        <f t="shared" si="25"/>
        <v>488.92635732851562</v>
      </c>
      <c r="N217">
        <f t="shared" si="26"/>
        <v>0.52656924960939477</v>
      </c>
    </row>
    <row r="218" spans="8:14" x14ac:dyDescent="0.3">
      <c r="H218">
        <v>11.8</v>
      </c>
      <c r="I218">
        <f t="shared" si="23"/>
        <v>488.88115581440002</v>
      </c>
      <c r="J218">
        <f t="shared" si="24"/>
        <v>488.88</v>
      </c>
      <c r="L218">
        <f t="shared" si="25"/>
        <v>488.35813096864007</v>
      </c>
      <c r="N218">
        <f t="shared" si="26"/>
        <v>0.52302484575994868</v>
      </c>
    </row>
    <row r="219" spans="8:14" x14ac:dyDescent="0.3">
      <c r="H219">
        <v>11.85</v>
      </c>
      <c r="I219">
        <f t="shared" si="23"/>
        <v>488.31212434752507</v>
      </c>
      <c r="J219">
        <f t="shared" si="24"/>
        <v>488.31</v>
      </c>
      <c r="L219">
        <f t="shared" si="25"/>
        <v>487.79260436955565</v>
      </c>
      <c r="N219">
        <f t="shared" si="26"/>
        <v>0.51951997796942351</v>
      </c>
    </row>
    <row r="220" spans="8:14" x14ac:dyDescent="0.3">
      <c r="H220">
        <v>11.9</v>
      </c>
      <c r="I220">
        <f t="shared" si="23"/>
        <v>487.7458054184001</v>
      </c>
      <c r="J220">
        <f t="shared" si="24"/>
        <v>487.75</v>
      </c>
      <c r="L220">
        <f t="shared" si="25"/>
        <v>487.22975066549003</v>
      </c>
      <c r="N220">
        <f t="shared" si="26"/>
        <v>0.51605475291006542</v>
      </c>
    </row>
    <row r="221" spans="8:14" x14ac:dyDescent="0.3">
      <c r="H221">
        <v>11.95</v>
      </c>
      <c r="I221">
        <f t="shared" si="23"/>
        <v>487.18217264052504</v>
      </c>
      <c r="J221">
        <f t="shared" si="24"/>
        <v>487.18</v>
      </c>
      <c r="L221">
        <f t="shared" si="25"/>
        <v>486.66954337480564</v>
      </c>
      <c r="N221">
        <f t="shared" si="26"/>
        <v>0.51262926571939715</v>
      </c>
    </row>
    <row r="222" spans="8:14" x14ac:dyDescent="0.3">
      <c r="H222">
        <v>12</v>
      </c>
      <c r="I222">
        <f t="shared" si="23"/>
        <v>486.62119999999993</v>
      </c>
      <c r="J222">
        <f t="shared" si="24"/>
        <v>486.62</v>
      </c>
      <c r="L222">
        <f t="shared" si="25"/>
        <v>486.11195639999994</v>
      </c>
      <c r="N222">
        <f t="shared" si="26"/>
        <v>0.50924359999999069</v>
      </c>
    </row>
    <row r="223" spans="8:14" x14ac:dyDescent="0.3">
      <c r="H223">
        <v>12.05</v>
      </c>
      <c r="I223">
        <f t="shared" si="23"/>
        <v>486.06286185552506</v>
      </c>
      <c r="J223">
        <f t="shared" si="24"/>
        <v>486.06</v>
      </c>
      <c r="L223">
        <f t="shared" si="25"/>
        <v>485.55696402770548</v>
      </c>
      <c r="N223">
        <f t="shared" si="26"/>
        <v>0.50589782781958093</v>
      </c>
    </row>
    <row r="224" spans="8:14" x14ac:dyDescent="0.3">
      <c r="H224">
        <v>12.1</v>
      </c>
      <c r="I224">
        <f t="shared" si="23"/>
        <v>485.5071329384001</v>
      </c>
      <c r="J224">
        <f t="shared" si="24"/>
        <v>485.51</v>
      </c>
      <c r="L224">
        <f t="shared" si="25"/>
        <v>485.00454092869006</v>
      </c>
      <c r="N224">
        <f t="shared" si="26"/>
        <v>0.50259200971004248</v>
      </c>
    </row>
    <row r="225" spans="8:14" x14ac:dyDescent="0.3">
      <c r="H225">
        <v>12.15</v>
      </c>
      <c r="I225">
        <f t="shared" si="23"/>
        <v>484.95398835252502</v>
      </c>
      <c r="J225">
        <f t="shared" si="24"/>
        <v>484.95</v>
      </c>
      <c r="L225">
        <f t="shared" si="25"/>
        <v>484.45466215785558</v>
      </c>
      <c r="N225">
        <f t="shared" si="26"/>
        <v>0.49932619466943606</v>
      </c>
    </row>
    <row r="226" spans="8:14" x14ac:dyDescent="0.3">
      <c r="H226">
        <v>12.2</v>
      </c>
      <c r="I226">
        <f t="shared" si="23"/>
        <v>484.40340357439993</v>
      </c>
      <c r="J226">
        <f t="shared" si="24"/>
        <v>484.4</v>
      </c>
      <c r="L226">
        <f t="shared" si="25"/>
        <v>483.90730315424003</v>
      </c>
      <c r="N226">
        <f t="shared" si="26"/>
        <v>0.4961004201599053</v>
      </c>
    </row>
    <row r="227" spans="8:14" x14ac:dyDescent="0.3">
      <c r="H227">
        <v>12.25</v>
      </c>
      <c r="I227">
        <f t="shared" si="23"/>
        <v>483.85535445312502</v>
      </c>
      <c r="J227">
        <f t="shared" si="24"/>
        <v>483.86</v>
      </c>
      <c r="L227">
        <f t="shared" si="25"/>
        <v>483.36243974101558</v>
      </c>
      <c r="N227">
        <f t="shared" si="26"/>
        <v>0.49291471210943882</v>
      </c>
    </row>
    <row r="228" spans="8:14" x14ac:dyDescent="0.3">
      <c r="H228">
        <v>12.3</v>
      </c>
      <c r="I228">
        <f t="shared" si="23"/>
        <v>483.30981721039996</v>
      </c>
      <c r="J228">
        <f t="shared" si="24"/>
        <v>483.31</v>
      </c>
      <c r="L228">
        <f t="shared" si="25"/>
        <v>482.82004812548996</v>
      </c>
      <c r="N228">
        <f t="shared" si="26"/>
        <v>0.48976908490999449</v>
      </c>
    </row>
    <row r="229" spans="8:14" x14ac:dyDescent="0.3">
      <c r="H229">
        <v>12.35</v>
      </c>
      <c r="I229">
        <f t="shared" si="23"/>
        <v>482.76676844052508</v>
      </c>
      <c r="J229">
        <f t="shared" si="24"/>
        <v>482.77</v>
      </c>
      <c r="L229">
        <f t="shared" si="25"/>
        <v>482.28010489910571</v>
      </c>
      <c r="N229">
        <f t="shared" si="26"/>
        <v>0.48666354141937518</v>
      </c>
    </row>
    <row r="230" spans="8:14" x14ac:dyDescent="0.3">
      <c r="H230">
        <v>12.4</v>
      </c>
      <c r="I230">
        <f t="shared" si="23"/>
        <v>482.22618511040002</v>
      </c>
      <c r="J230">
        <f t="shared" si="24"/>
        <v>482.23</v>
      </c>
      <c r="L230">
        <f t="shared" si="25"/>
        <v>481.7425870374401</v>
      </c>
      <c r="N230">
        <f t="shared" si="26"/>
        <v>0.48359807295992141</v>
      </c>
    </row>
    <row r="231" spans="8:14" x14ac:dyDescent="0.3">
      <c r="H231">
        <v>12.45</v>
      </c>
      <c r="I231">
        <f t="shared" si="23"/>
        <v>481.68804455952494</v>
      </c>
      <c r="J231">
        <f t="shared" si="24"/>
        <v>481.69</v>
      </c>
      <c r="L231">
        <f t="shared" si="25"/>
        <v>481.20747190020563</v>
      </c>
      <c r="N231">
        <f t="shared" si="26"/>
        <v>0.48057265931930715</v>
      </c>
    </row>
    <row r="232" spans="8:14" x14ac:dyDescent="0.3">
      <c r="H232">
        <v>12.5</v>
      </c>
      <c r="I232">
        <f t="shared" si="23"/>
        <v>481.15232450000008</v>
      </c>
      <c r="J232">
        <f t="shared" si="24"/>
        <v>481.15</v>
      </c>
      <c r="L232">
        <f t="shared" si="25"/>
        <v>480.67473723124994</v>
      </c>
      <c r="N232">
        <f t="shared" si="26"/>
        <v>0.4775872687501419</v>
      </c>
    </row>
    <row r="233" spans="8:14" x14ac:dyDescent="0.3">
      <c r="H233">
        <v>12.55</v>
      </c>
      <c r="I233">
        <f t="shared" si="23"/>
        <v>480.61900301652503</v>
      </c>
      <c r="J233">
        <f t="shared" si="24"/>
        <v>480.62</v>
      </c>
      <c r="L233">
        <f t="shared" si="25"/>
        <v>480.14436115855563</v>
      </c>
      <c r="N233">
        <f t="shared" si="26"/>
        <v>0.47464185796940228</v>
      </c>
    </row>
    <row r="234" spans="8:14" x14ac:dyDescent="0.3">
      <c r="H234">
        <v>12.6</v>
      </c>
      <c r="I234">
        <f t="shared" si="23"/>
        <v>480.08805856640004</v>
      </c>
      <c r="J234">
        <f t="shared" si="24"/>
        <v>480.09</v>
      </c>
      <c r="L234">
        <f t="shared" si="25"/>
        <v>479.61632219424007</v>
      </c>
      <c r="N234">
        <f t="shared" si="26"/>
        <v>0.47173637215996678</v>
      </c>
    </row>
    <row r="235" spans="8:14" x14ac:dyDescent="0.3">
      <c r="H235">
        <v>12.65</v>
      </c>
      <c r="I235">
        <f t="shared" ref="I235:I298" si="27" xml:space="preserve"> 0.002484*H235^4 - 0.153172*H235^3 + 3.894909*H235^2 - 55.669943*H235 + 806.966612</f>
        <v>479.55946997952498</v>
      </c>
      <c r="J235">
        <f t="shared" ref="J235:J298" si="28">ROUND(I235,2)</f>
        <v>479.56</v>
      </c>
      <c r="L235">
        <f t="shared" ref="L235:L298" si="29">0.0025609*H235^4-0.1569516*H235^3+3.9565541*H235^2-55.9808564*H235+806.2479852</f>
        <v>479.09059923455561</v>
      </c>
      <c r="N235">
        <f t="shared" ref="N235:N298" si="30">I235-L235</f>
        <v>0.46887074496936521</v>
      </c>
    </row>
    <row r="236" spans="8:14" x14ac:dyDescent="0.3">
      <c r="H236">
        <v>12.7</v>
      </c>
      <c r="I236">
        <f t="shared" si="27"/>
        <v>479.03321645840015</v>
      </c>
      <c r="J236">
        <f t="shared" si="28"/>
        <v>479.03</v>
      </c>
      <c r="L236">
        <f t="shared" si="29"/>
        <v>478.56717155989003</v>
      </c>
      <c r="N236">
        <f t="shared" si="30"/>
        <v>0.46604489851011976</v>
      </c>
    </row>
    <row r="237" spans="8:14" x14ac:dyDescent="0.3">
      <c r="H237">
        <v>12.75</v>
      </c>
      <c r="I237">
        <f t="shared" si="27"/>
        <v>478.50927757812508</v>
      </c>
      <c r="J237">
        <f t="shared" si="28"/>
        <v>478.51</v>
      </c>
      <c r="L237">
        <f t="shared" si="29"/>
        <v>478.04601883476562</v>
      </c>
      <c r="N237">
        <f t="shared" si="30"/>
        <v>0.46325874335946082</v>
      </c>
    </row>
    <row r="238" spans="8:14" x14ac:dyDescent="0.3">
      <c r="H238">
        <v>12.8</v>
      </c>
      <c r="I238">
        <f t="shared" si="27"/>
        <v>477.98763328640007</v>
      </c>
      <c r="J238">
        <f t="shared" si="28"/>
        <v>477.99</v>
      </c>
      <c r="L238">
        <f t="shared" si="29"/>
        <v>477.52712110784006</v>
      </c>
      <c r="N238">
        <f t="shared" si="30"/>
        <v>0.46051217856000903</v>
      </c>
    </row>
    <row r="239" spans="8:14" x14ac:dyDescent="0.3">
      <c r="H239">
        <v>12.85</v>
      </c>
      <c r="I239">
        <f t="shared" si="27"/>
        <v>477.46826390352498</v>
      </c>
      <c r="J239">
        <f t="shared" si="28"/>
        <v>477.47</v>
      </c>
      <c r="L239">
        <f t="shared" si="29"/>
        <v>477.01045881190572</v>
      </c>
      <c r="N239">
        <f t="shared" si="30"/>
        <v>0.45780509161926375</v>
      </c>
    </row>
    <row r="240" spans="8:14" x14ac:dyDescent="0.3">
      <c r="H240">
        <v>12.9</v>
      </c>
      <c r="I240">
        <f t="shared" si="27"/>
        <v>476.95115012240007</v>
      </c>
      <c r="J240">
        <f t="shared" si="28"/>
        <v>476.95</v>
      </c>
      <c r="L240">
        <f t="shared" si="29"/>
        <v>476.49601276388995</v>
      </c>
      <c r="N240">
        <f t="shared" si="30"/>
        <v>0.45513735851011461</v>
      </c>
    </row>
    <row r="241" spans="8:14" x14ac:dyDescent="0.3">
      <c r="H241">
        <v>12.95</v>
      </c>
      <c r="I241">
        <f t="shared" si="27"/>
        <v>476.43627300852501</v>
      </c>
      <c r="J241">
        <f t="shared" si="28"/>
        <v>476.44</v>
      </c>
      <c r="L241">
        <f t="shared" si="29"/>
        <v>475.98376416485564</v>
      </c>
      <c r="N241">
        <f t="shared" si="30"/>
        <v>0.45250884366936361</v>
      </c>
    </row>
    <row r="242" spans="8:14" x14ac:dyDescent="0.3">
      <c r="H242">
        <v>13</v>
      </c>
      <c r="I242">
        <f t="shared" si="27"/>
        <v>475.92361400000004</v>
      </c>
      <c r="J242">
        <f t="shared" si="28"/>
        <v>475.92</v>
      </c>
      <c r="L242">
        <f t="shared" si="29"/>
        <v>475.47369460000004</v>
      </c>
      <c r="N242">
        <f t="shared" si="30"/>
        <v>0.44991939999999886</v>
      </c>
    </row>
    <row r="243" spans="8:14" x14ac:dyDescent="0.3">
      <c r="H243">
        <v>13.05</v>
      </c>
      <c r="I243">
        <f t="shared" si="27"/>
        <v>475.41315490752493</v>
      </c>
      <c r="J243">
        <f t="shared" si="28"/>
        <v>475.41</v>
      </c>
      <c r="L243">
        <f t="shared" si="29"/>
        <v>474.96578603865549</v>
      </c>
      <c r="N243">
        <f t="shared" si="30"/>
        <v>0.44736886886943239</v>
      </c>
    </row>
    <row r="244" spans="8:14" x14ac:dyDescent="0.3">
      <c r="H244">
        <v>13.1</v>
      </c>
      <c r="I244">
        <f t="shared" si="27"/>
        <v>474.9048779144</v>
      </c>
      <c r="J244">
        <f t="shared" si="28"/>
        <v>474.9</v>
      </c>
      <c r="L244">
        <f t="shared" si="29"/>
        <v>474.46002083428999</v>
      </c>
      <c r="N244">
        <f t="shared" si="30"/>
        <v>0.44485708011001179</v>
      </c>
    </row>
    <row r="245" spans="8:14" x14ac:dyDescent="0.3">
      <c r="H245">
        <v>13.15</v>
      </c>
      <c r="I245">
        <f t="shared" si="27"/>
        <v>474.39876557652519</v>
      </c>
      <c r="J245">
        <f t="shared" si="28"/>
        <v>474.4</v>
      </c>
      <c r="L245">
        <f t="shared" si="29"/>
        <v>473.95638172450566</v>
      </c>
      <c r="N245">
        <f t="shared" si="30"/>
        <v>0.44238385201953179</v>
      </c>
    </row>
    <row r="246" spans="8:14" x14ac:dyDescent="0.3">
      <c r="H246">
        <v>13.2</v>
      </c>
      <c r="I246">
        <f t="shared" si="27"/>
        <v>473.89480082239993</v>
      </c>
      <c r="J246">
        <f t="shared" si="28"/>
        <v>473.89</v>
      </c>
      <c r="L246">
        <f t="shared" si="29"/>
        <v>473.45485183104006</v>
      </c>
      <c r="N246">
        <f t="shared" si="30"/>
        <v>0.43994899135986998</v>
      </c>
    </row>
    <row r="247" spans="8:14" x14ac:dyDescent="0.3">
      <c r="H247">
        <v>13.25</v>
      </c>
      <c r="I247">
        <f t="shared" si="27"/>
        <v>473.3929669531251</v>
      </c>
      <c r="J247">
        <f t="shared" si="28"/>
        <v>473.39</v>
      </c>
      <c r="L247">
        <f t="shared" si="29"/>
        <v>472.95541465976561</v>
      </c>
      <c r="N247">
        <f t="shared" si="30"/>
        <v>0.43755229335948798</v>
      </c>
    </row>
    <row r="248" spans="8:14" x14ac:dyDescent="0.3">
      <c r="H248">
        <v>13.3</v>
      </c>
      <c r="I248">
        <f t="shared" si="27"/>
        <v>472.89324764240013</v>
      </c>
      <c r="J248">
        <f t="shared" si="28"/>
        <v>472.89</v>
      </c>
      <c r="L248">
        <f t="shared" si="29"/>
        <v>472.45805410068999</v>
      </c>
      <c r="N248">
        <f t="shared" si="30"/>
        <v>0.43519354171013447</v>
      </c>
    </row>
    <row r="249" spans="8:14" x14ac:dyDescent="0.3">
      <c r="H249">
        <v>13.35</v>
      </c>
      <c r="I249">
        <f t="shared" si="27"/>
        <v>472.3956269365251</v>
      </c>
      <c r="J249">
        <f t="shared" si="28"/>
        <v>472.4</v>
      </c>
      <c r="L249">
        <f t="shared" si="29"/>
        <v>471.9627544279557</v>
      </c>
      <c r="N249">
        <f t="shared" si="30"/>
        <v>0.43287250856940318</v>
      </c>
    </row>
    <row r="250" spans="8:14" x14ac:dyDescent="0.3">
      <c r="H250">
        <v>13.4</v>
      </c>
      <c r="I250">
        <f t="shared" si="27"/>
        <v>471.90008925439997</v>
      </c>
      <c r="J250">
        <f t="shared" si="28"/>
        <v>471.9</v>
      </c>
      <c r="L250">
        <f t="shared" si="29"/>
        <v>471.46950029983998</v>
      </c>
      <c r="N250">
        <f t="shared" si="30"/>
        <v>0.43058895455999391</v>
      </c>
    </row>
    <row r="251" spans="8:14" x14ac:dyDescent="0.3">
      <c r="H251">
        <v>13.45</v>
      </c>
      <c r="I251">
        <f t="shared" si="27"/>
        <v>471.40661938752504</v>
      </c>
      <c r="J251">
        <f t="shared" si="28"/>
        <v>471.41</v>
      </c>
      <c r="L251">
        <f t="shared" si="29"/>
        <v>470.97827675875561</v>
      </c>
      <c r="N251">
        <f t="shared" si="30"/>
        <v>0.4283426287694283</v>
      </c>
    </row>
    <row r="252" spans="8:14" x14ac:dyDescent="0.3">
      <c r="H252">
        <v>13.5</v>
      </c>
      <c r="I252">
        <f t="shared" si="27"/>
        <v>470.91520249999996</v>
      </c>
      <c r="J252">
        <f t="shared" si="28"/>
        <v>470.92</v>
      </c>
      <c r="L252">
        <f t="shared" si="29"/>
        <v>470.48906923125003</v>
      </c>
      <c r="N252">
        <f t="shared" si="30"/>
        <v>0.42613326874993618</v>
      </c>
    </row>
    <row r="253" spans="8:14" x14ac:dyDescent="0.3">
      <c r="H253">
        <v>13.55</v>
      </c>
      <c r="I253">
        <f t="shared" si="27"/>
        <v>470.42582412852511</v>
      </c>
      <c r="J253">
        <f t="shared" si="28"/>
        <v>470.43</v>
      </c>
      <c r="L253">
        <f t="shared" si="29"/>
        <v>470.00186352800563</v>
      </c>
      <c r="N253">
        <f t="shared" si="30"/>
        <v>0.4239606005194787</v>
      </c>
    </row>
    <row r="254" spans="8:14" x14ac:dyDescent="0.3">
      <c r="H254">
        <v>13.6</v>
      </c>
      <c r="I254">
        <f t="shared" si="27"/>
        <v>469.93847018240001</v>
      </c>
      <c r="J254">
        <f t="shared" si="28"/>
        <v>469.94</v>
      </c>
      <c r="L254">
        <f t="shared" si="29"/>
        <v>469.51664584384002</v>
      </c>
      <c r="N254">
        <f t="shared" si="30"/>
        <v>0.42182433855998624</v>
      </c>
    </row>
    <row r="255" spans="8:14" x14ac:dyDescent="0.3">
      <c r="H255">
        <v>13.65</v>
      </c>
      <c r="I255">
        <f t="shared" si="27"/>
        <v>469.45312694352515</v>
      </c>
      <c r="J255">
        <f t="shared" si="28"/>
        <v>469.45</v>
      </c>
      <c r="L255">
        <f t="shared" si="29"/>
        <v>469.03340275770574</v>
      </c>
      <c r="N255">
        <f t="shared" si="30"/>
        <v>0.41972418581940474</v>
      </c>
    </row>
    <row r="256" spans="8:14" x14ac:dyDescent="0.3">
      <c r="H256">
        <v>13.7</v>
      </c>
      <c r="I256">
        <f t="shared" si="27"/>
        <v>468.96978106639995</v>
      </c>
      <c r="J256">
        <f t="shared" si="28"/>
        <v>468.97</v>
      </c>
      <c r="L256">
        <f t="shared" si="29"/>
        <v>468.55212123269007</v>
      </c>
      <c r="N256">
        <f t="shared" si="30"/>
        <v>0.41765983370987669</v>
      </c>
    </row>
    <row r="257" spans="8:14" x14ac:dyDescent="0.3">
      <c r="H257">
        <v>13.75</v>
      </c>
      <c r="I257">
        <f t="shared" si="27"/>
        <v>468.48841957812505</v>
      </c>
      <c r="J257">
        <f t="shared" si="28"/>
        <v>468.49</v>
      </c>
      <c r="L257">
        <f t="shared" si="29"/>
        <v>468.0727886160156</v>
      </c>
      <c r="N257">
        <f t="shared" si="30"/>
        <v>0.4156309621094465</v>
      </c>
    </row>
    <row r="258" spans="8:14" x14ac:dyDescent="0.3">
      <c r="H258">
        <v>13.8</v>
      </c>
      <c r="I258">
        <f t="shared" si="27"/>
        <v>468.00902987839999</v>
      </c>
      <c r="J258">
        <f t="shared" si="28"/>
        <v>468.01</v>
      </c>
      <c r="L258">
        <f t="shared" si="29"/>
        <v>467.59539263903991</v>
      </c>
      <c r="N258">
        <f t="shared" si="30"/>
        <v>0.41363723936007091</v>
      </c>
    </row>
    <row r="259" spans="8:14" x14ac:dyDescent="0.3">
      <c r="H259">
        <v>13.85</v>
      </c>
      <c r="I259">
        <f t="shared" si="27"/>
        <v>467.53159973952506</v>
      </c>
      <c r="J259">
        <f t="shared" si="28"/>
        <v>467.53</v>
      </c>
      <c r="L259">
        <f t="shared" si="29"/>
        <v>467.11992141725568</v>
      </c>
      <c r="N259">
        <f t="shared" si="30"/>
        <v>0.41167832226938117</v>
      </c>
    </row>
    <row r="260" spans="8:14" x14ac:dyDescent="0.3">
      <c r="H260">
        <v>13.9</v>
      </c>
      <c r="I260">
        <f t="shared" si="27"/>
        <v>467.0561173064001</v>
      </c>
      <c r="J260">
        <f t="shared" si="28"/>
        <v>467.06</v>
      </c>
      <c r="L260">
        <f t="shared" si="29"/>
        <v>466.64636345029004</v>
      </c>
      <c r="N260">
        <f t="shared" si="30"/>
        <v>0.40975385611005777</v>
      </c>
    </row>
    <row r="261" spans="8:14" x14ac:dyDescent="0.3">
      <c r="H261">
        <v>13.95</v>
      </c>
      <c r="I261">
        <f t="shared" si="27"/>
        <v>466.58257109652504</v>
      </c>
      <c r="J261">
        <f t="shared" si="28"/>
        <v>466.58</v>
      </c>
      <c r="L261">
        <f t="shared" si="29"/>
        <v>466.17470762190567</v>
      </c>
      <c r="N261">
        <f t="shared" si="30"/>
        <v>0.40786347461937567</v>
      </c>
    </row>
    <row r="262" spans="8:14" x14ac:dyDescent="0.3">
      <c r="H262">
        <v>14</v>
      </c>
      <c r="I262">
        <f t="shared" si="27"/>
        <v>466.11095000000006</v>
      </c>
      <c r="J262">
        <f t="shared" si="28"/>
        <v>466.11</v>
      </c>
      <c r="L262">
        <f t="shared" si="29"/>
        <v>465.70494320000006</v>
      </c>
      <c r="N262">
        <f t="shared" si="30"/>
        <v>0.40600680000000011</v>
      </c>
    </row>
    <row r="263" spans="8:14" x14ac:dyDescent="0.3">
      <c r="H263">
        <v>14.05</v>
      </c>
      <c r="I263">
        <f t="shared" si="27"/>
        <v>465.64124327952499</v>
      </c>
      <c r="J263">
        <f t="shared" si="28"/>
        <v>465.64</v>
      </c>
      <c r="L263">
        <f t="shared" si="29"/>
        <v>465.23705983660557</v>
      </c>
      <c r="N263">
        <f t="shared" si="30"/>
        <v>0.40418344291941821</v>
      </c>
    </row>
    <row r="264" spans="8:14" x14ac:dyDescent="0.3">
      <c r="H264">
        <v>14.1</v>
      </c>
      <c r="I264">
        <f t="shared" si="27"/>
        <v>465.17344057040009</v>
      </c>
      <c r="J264">
        <f t="shared" si="28"/>
        <v>465.17</v>
      </c>
      <c r="L264">
        <f t="shared" si="29"/>
        <v>464.77104756789004</v>
      </c>
      <c r="N264">
        <f t="shared" si="30"/>
        <v>0.40239300251005261</v>
      </c>
    </row>
    <row r="265" spans="8:14" x14ac:dyDescent="0.3">
      <c r="H265">
        <v>14.15</v>
      </c>
      <c r="I265">
        <f t="shared" si="27"/>
        <v>464.70753188052498</v>
      </c>
      <c r="J265">
        <f t="shared" si="28"/>
        <v>464.71</v>
      </c>
      <c r="L265">
        <f t="shared" si="29"/>
        <v>464.30689681415561</v>
      </c>
      <c r="N265">
        <f t="shared" si="30"/>
        <v>0.40063506636937518</v>
      </c>
    </row>
    <row r="266" spans="8:14" x14ac:dyDescent="0.3">
      <c r="H266">
        <v>14.2</v>
      </c>
      <c r="I266">
        <f t="shared" si="27"/>
        <v>464.24350759040004</v>
      </c>
      <c r="J266">
        <f t="shared" si="28"/>
        <v>464.24</v>
      </c>
      <c r="L266">
        <f t="shared" si="29"/>
        <v>463.84459837984014</v>
      </c>
      <c r="N266">
        <f t="shared" si="30"/>
        <v>0.39890921055990702</v>
      </c>
    </row>
    <row r="267" spans="8:14" x14ac:dyDescent="0.3">
      <c r="H267">
        <v>14.25</v>
      </c>
      <c r="I267">
        <f t="shared" si="27"/>
        <v>463.78135845312499</v>
      </c>
      <c r="J267">
        <f t="shared" si="28"/>
        <v>463.78</v>
      </c>
      <c r="L267">
        <f t="shared" si="29"/>
        <v>463.38414345351561</v>
      </c>
      <c r="N267">
        <f t="shared" si="30"/>
        <v>0.397214999609389</v>
      </c>
    </row>
    <row r="268" spans="8:14" x14ac:dyDescent="0.3">
      <c r="H268">
        <v>14.3</v>
      </c>
      <c r="I268">
        <f t="shared" si="27"/>
        <v>463.32107559439999</v>
      </c>
      <c r="J268">
        <f t="shared" si="28"/>
        <v>463.32</v>
      </c>
      <c r="L268">
        <f t="shared" si="29"/>
        <v>462.92552360788989</v>
      </c>
      <c r="N268">
        <f t="shared" si="30"/>
        <v>0.3955519865100996</v>
      </c>
    </row>
    <row r="269" spans="8:14" x14ac:dyDescent="0.3">
      <c r="H269">
        <v>14.35</v>
      </c>
      <c r="I269">
        <f t="shared" si="27"/>
        <v>462.86265051252491</v>
      </c>
      <c r="J269">
        <f t="shared" si="28"/>
        <v>462.86</v>
      </c>
      <c r="L269">
        <f t="shared" si="29"/>
        <v>462.46873079980554</v>
      </c>
      <c r="N269">
        <f t="shared" si="30"/>
        <v>0.39391971271936654</v>
      </c>
    </row>
    <row r="270" spans="8:14" x14ac:dyDescent="0.3">
      <c r="H270">
        <v>14.4</v>
      </c>
      <c r="I270">
        <f t="shared" si="27"/>
        <v>462.40607507839997</v>
      </c>
      <c r="J270">
        <f t="shared" si="28"/>
        <v>462.41</v>
      </c>
      <c r="L270">
        <f t="shared" si="29"/>
        <v>462.01375737024011</v>
      </c>
      <c r="N270">
        <f t="shared" si="30"/>
        <v>0.39231770815985101</v>
      </c>
    </row>
    <row r="271" spans="8:14" x14ac:dyDescent="0.3">
      <c r="H271">
        <v>14.45</v>
      </c>
      <c r="I271">
        <f t="shared" si="27"/>
        <v>461.95134153552505</v>
      </c>
      <c r="J271">
        <f t="shared" si="28"/>
        <v>461.95</v>
      </c>
      <c r="L271">
        <f t="shared" si="29"/>
        <v>461.56059604430567</v>
      </c>
      <c r="N271">
        <f t="shared" si="30"/>
        <v>0.39074549121937707</v>
      </c>
    </row>
    <row r="272" spans="8:14" x14ac:dyDescent="0.3">
      <c r="H272">
        <v>14.5</v>
      </c>
      <c r="I272">
        <f t="shared" si="27"/>
        <v>461.49844250000001</v>
      </c>
      <c r="J272">
        <f t="shared" si="28"/>
        <v>461.5</v>
      </c>
      <c r="L272">
        <f t="shared" si="29"/>
        <v>461.10923993125004</v>
      </c>
      <c r="N272">
        <f t="shared" si="30"/>
        <v>0.38920256874996539</v>
      </c>
    </row>
    <row r="273" spans="8:14" x14ac:dyDescent="0.3">
      <c r="H273">
        <v>14.55</v>
      </c>
      <c r="I273">
        <f t="shared" si="27"/>
        <v>461.04737096052497</v>
      </c>
      <c r="J273">
        <f t="shared" si="28"/>
        <v>461.05</v>
      </c>
      <c r="L273">
        <f t="shared" si="29"/>
        <v>460.65968252445566</v>
      </c>
      <c r="N273">
        <f t="shared" si="30"/>
        <v>0.38768843606931114</v>
      </c>
    </row>
    <row r="274" spans="8:14" x14ac:dyDescent="0.3">
      <c r="H274">
        <v>14.6</v>
      </c>
      <c r="I274">
        <f t="shared" si="27"/>
        <v>460.59812027839996</v>
      </c>
      <c r="J274">
        <f t="shared" si="28"/>
        <v>460.6</v>
      </c>
      <c r="L274">
        <f t="shared" si="29"/>
        <v>460.21191770143992</v>
      </c>
      <c r="N274">
        <f t="shared" si="30"/>
        <v>0.38620257696004501</v>
      </c>
    </row>
    <row r="275" spans="8:14" x14ac:dyDescent="0.3">
      <c r="H275">
        <v>14.65</v>
      </c>
      <c r="I275">
        <f t="shared" si="27"/>
        <v>460.15068418752509</v>
      </c>
      <c r="J275">
        <f t="shared" si="28"/>
        <v>460.15</v>
      </c>
      <c r="L275">
        <f t="shared" si="29"/>
        <v>459.76593972385569</v>
      </c>
      <c r="N275">
        <f t="shared" si="30"/>
        <v>0.38474446366939219</v>
      </c>
    </row>
    <row r="276" spans="8:14" x14ac:dyDescent="0.3">
      <c r="H276">
        <v>14.7</v>
      </c>
      <c r="I276">
        <f t="shared" si="27"/>
        <v>459.70505679440009</v>
      </c>
      <c r="J276">
        <f t="shared" si="28"/>
        <v>459.71</v>
      </c>
      <c r="L276">
        <f t="shared" si="29"/>
        <v>459.32174323749001</v>
      </c>
      <c r="N276">
        <f t="shared" si="30"/>
        <v>0.38331355691008184</v>
      </c>
    </row>
    <row r="277" spans="8:14" x14ac:dyDescent="0.3">
      <c r="H277">
        <v>14.75</v>
      </c>
      <c r="I277">
        <f t="shared" si="27"/>
        <v>459.26123257812503</v>
      </c>
      <c r="J277">
        <f t="shared" si="28"/>
        <v>459.26</v>
      </c>
      <c r="L277">
        <f t="shared" si="29"/>
        <v>458.87932327226565</v>
      </c>
      <c r="N277">
        <f t="shared" si="30"/>
        <v>0.38190930585938077</v>
      </c>
    </row>
    <row r="278" spans="8:14" x14ac:dyDescent="0.3">
      <c r="H278">
        <v>14.8</v>
      </c>
      <c r="I278">
        <f t="shared" si="27"/>
        <v>458.81920639040004</v>
      </c>
      <c r="J278">
        <f t="shared" si="28"/>
        <v>458.82</v>
      </c>
      <c r="L278">
        <f t="shared" si="29"/>
        <v>458.43867524223998</v>
      </c>
      <c r="N278">
        <f t="shared" si="30"/>
        <v>0.38053114816005973</v>
      </c>
    </row>
    <row r="279" spans="8:14" x14ac:dyDescent="0.3">
      <c r="H279">
        <v>14.85</v>
      </c>
      <c r="I279">
        <f t="shared" si="27"/>
        <v>458.37897345552506</v>
      </c>
      <c r="J279">
        <f t="shared" si="28"/>
        <v>458.38</v>
      </c>
      <c r="L279">
        <f t="shared" si="29"/>
        <v>457.99979494560557</v>
      </c>
      <c r="N279">
        <f t="shared" si="30"/>
        <v>0.37917850991948399</v>
      </c>
    </row>
    <row r="280" spans="8:14" x14ac:dyDescent="0.3">
      <c r="H280">
        <v>14.9</v>
      </c>
      <c r="I280">
        <f t="shared" si="27"/>
        <v>457.94052937040004</v>
      </c>
      <c r="J280">
        <f t="shared" si="28"/>
        <v>457.94</v>
      </c>
      <c r="L280">
        <f t="shared" si="29"/>
        <v>457.56267856468997</v>
      </c>
      <c r="N280">
        <f t="shared" si="30"/>
        <v>0.37785080571006802</v>
      </c>
    </row>
    <row r="281" spans="8:14" x14ac:dyDescent="0.3">
      <c r="H281">
        <v>14.95</v>
      </c>
      <c r="I281">
        <f t="shared" si="27"/>
        <v>457.50387010452494</v>
      </c>
      <c r="J281">
        <f t="shared" si="28"/>
        <v>457.5</v>
      </c>
      <c r="L281">
        <f t="shared" si="29"/>
        <v>457.12732266595572</v>
      </c>
      <c r="N281">
        <f t="shared" si="30"/>
        <v>0.37654743856921868</v>
      </c>
    </row>
    <row r="282" spans="8:14" x14ac:dyDescent="0.3">
      <c r="H282">
        <v>15</v>
      </c>
      <c r="I282">
        <f t="shared" si="27"/>
        <v>457.06899200000004</v>
      </c>
      <c r="J282">
        <f t="shared" si="28"/>
        <v>457.07</v>
      </c>
      <c r="L282">
        <f t="shared" si="29"/>
        <v>456.69372420000002</v>
      </c>
      <c r="N282">
        <f t="shared" si="30"/>
        <v>0.37526780000001736</v>
      </c>
    </row>
    <row r="283" spans="8:14" x14ac:dyDescent="0.3">
      <c r="H283">
        <v>15.05</v>
      </c>
      <c r="I283">
        <f t="shared" si="27"/>
        <v>456.63589177152505</v>
      </c>
      <c r="J283">
        <f t="shared" si="28"/>
        <v>456.64</v>
      </c>
      <c r="L283">
        <f t="shared" si="29"/>
        <v>456.26188050155565</v>
      </c>
      <c r="N283">
        <f t="shared" si="30"/>
        <v>0.37401126996940093</v>
      </c>
    </row>
    <row r="284" spans="8:14" x14ac:dyDescent="0.3">
      <c r="H284">
        <v>15.1</v>
      </c>
      <c r="I284">
        <f t="shared" si="27"/>
        <v>456.20456650640006</v>
      </c>
      <c r="J284">
        <f t="shared" si="28"/>
        <v>456.2</v>
      </c>
      <c r="L284">
        <f t="shared" si="29"/>
        <v>455.83178928948996</v>
      </c>
      <c r="N284">
        <f t="shared" si="30"/>
        <v>0.37277721691009447</v>
      </c>
    </row>
    <row r="285" spans="8:14" x14ac:dyDescent="0.3">
      <c r="H285">
        <v>15.15</v>
      </c>
      <c r="I285">
        <f t="shared" si="27"/>
        <v>455.77501366452498</v>
      </c>
      <c r="J285">
        <f t="shared" si="28"/>
        <v>455.78</v>
      </c>
      <c r="L285">
        <f t="shared" si="29"/>
        <v>455.40344866680579</v>
      </c>
      <c r="N285">
        <f t="shared" si="30"/>
        <v>0.37156499771919016</v>
      </c>
    </row>
    <row r="286" spans="8:14" x14ac:dyDescent="0.3">
      <c r="H286">
        <v>15.2</v>
      </c>
      <c r="I286">
        <f t="shared" si="27"/>
        <v>455.34723107840017</v>
      </c>
      <c r="J286">
        <f t="shared" si="28"/>
        <v>455.35</v>
      </c>
      <c r="L286">
        <f t="shared" si="29"/>
        <v>454.97685712064003</v>
      </c>
      <c r="N286">
        <f t="shared" si="30"/>
        <v>0.37037395776013682</v>
      </c>
    </row>
    <row r="287" spans="8:14" x14ac:dyDescent="0.3">
      <c r="H287">
        <v>15.25</v>
      </c>
      <c r="I287">
        <f t="shared" si="27"/>
        <v>454.92121695312505</v>
      </c>
      <c r="J287">
        <f t="shared" si="28"/>
        <v>454.92</v>
      </c>
      <c r="L287">
        <f t="shared" si="29"/>
        <v>454.55201352226572</v>
      </c>
      <c r="N287">
        <f t="shared" si="30"/>
        <v>0.36920343085932927</v>
      </c>
    </row>
    <row r="288" spans="8:14" x14ac:dyDescent="0.3">
      <c r="H288">
        <v>15.3</v>
      </c>
      <c r="I288">
        <f t="shared" si="27"/>
        <v>454.49696986640004</v>
      </c>
      <c r="J288">
        <f t="shared" si="28"/>
        <v>454.5</v>
      </c>
      <c r="L288">
        <f t="shared" si="29"/>
        <v>454.12891712708995</v>
      </c>
      <c r="N288">
        <f t="shared" si="30"/>
        <v>0.36805273931008742</v>
      </c>
    </row>
    <row r="289" spans="8:14" x14ac:dyDescent="0.3">
      <c r="H289">
        <v>15.35</v>
      </c>
      <c r="I289">
        <f t="shared" si="27"/>
        <v>454.07448876852499</v>
      </c>
      <c r="J289">
        <f t="shared" si="28"/>
        <v>454.07</v>
      </c>
      <c r="L289">
        <f t="shared" si="29"/>
        <v>453.70756757465563</v>
      </c>
      <c r="N289">
        <f t="shared" si="30"/>
        <v>0.36692119386935929</v>
      </c>
    </row>
    <row r="290" spans="8:14" x14ac:dyDescent="0.3">
      <c r="H290">
        <v>15.4</v>
      </c>
      <c r="I290">
        <f t="shared" si="27"/>
        <v>453.65377298240003</v>
      </c>
      <c r="J290">
        <f t="shared" si="28"/>
        <v>453.65</v>
      </c>
      <c r="L290">
        <f t="shared" si="29"/>
        <v>453.28796488864009</v>
      </c>
      <c r="N290">
        <f t="shared" si="30"/>
        <v>0.36580809375993795</v>
      </c>
    </row>
    <row r="291" spans="8:14" x14ac:dyDescent="0.3">
      <c r="H291">
        <v>15.45</v>
      </c>
      <c r="I291">
        <f t="shared" si="27"/>
        <v>453.23482220352514</v>
      </c>
      <c r="J291">
        <f t="shared" si="28"/>
        <v>453.23</v>
      </c>
      <c r="L291">
        <f t="shared" si="29"/>
        <v>452.87010947685565</v>
      </c>
      <c r="N291">
        <f t="shared" si="30"/>
        <v>0.36471272666949517</v>
      </c>
    </row>
    <row r="292" spans="8:14" x14ac:dyDescent="0.3">
      <c r="H292">
        <v>15.5</v>
      </c>
      <c r="I292">
        <f t="shared" si="27"/>
        <v>452.81763650000011</v>
      </c>
      <c r="J292">
        <f t="shared" si="28"/>
        <v>452.82</v>
      </c>
      <c r="L292">
        <f t="shared" si="29"/>
        <v>452.45400213125004</v>
      </c>
      <c r="N292">
        <f t="shared" si="30"/>
        <v>0.36363436875006983</v>
      </c>
    </row>
    <row r="293" spans="8:14" x14ac:dyDescent="0.3">
      <c r="H293">
        <v>15.55</v>
      </c>
      <c r="I293">
        <f t="shared" si="27"/>
        <v>452.40221631252496</v>
      </c>
      <c r="J293">
        <f t="shared" si="28"/>
        <v>452.4</v>
      </c>
      <c r="L293">
        <f t="shared" si="29"/>
        <v>452.03964402790564</v>
      </c>
      <c r="N293">
        <f t="shared" si="30"/>
        <v>0.36257228461931845</v>
      </c>
    </row>
    <row r="294" spans="8:14" x14ac:dyDescent="0.3">
      <c r="H294">
        <v>15.6</v>
      </c>
      <c r="I294">
        <f t="shared" si="27"/>
        <v>451.98856245439993</v>
      </c>
      <c r="J294">
        <f t="shared" si="28"/>
        <v>451.99</v>
      </c>
      <c r="L294">
        <f t="shared" si="29"/>
        <v>451.62703672704004</v>
      </c>
      <c r="N294">
        <f t="shared" si="30"/>
        <v>0.36152572735988997</v>
      </c>
    </row>
    <row r="295" spans="8:14" x14ac:dyDescent="0.3">
      <c r="H295">
        <v>15.65</v>
      </c>
      <c r="I295">
        <f t="shared" si="27"/>
        <v>451.5766761115251</v>
      </c>
      <c r="J295">
        <f t="shared" si="28"/>
        <v>451.58</v>
      </c>
      <c r="L295">
        <f t="shared" si="29"/>
        <v>451.21618217300568</v>
      </c>
      <c r="N295">
        <f t="shared" si="30"/>
        <v>0.36049393851942568</v>
      </c>
    </row>
    <row r="296" spans="8:14" x14ac:dyDescent="0.3">
      <c r="H296">
        <v>15.7</v>
      </c>
      <c r="I296">
        <f t="shared" si="27"/>
        <v>451.16655884240004</v>
      </c>
      <c r="J296">
        <f t="shared" si="28"/>
        <v>451.17</v>
      </c>
      <c r="L296">
        <f t="shared" si="29"/>
        <v>450.80708269428999</v>
      </c>
      <c r="N296">
        <f t="shared" si="30"/>
        <v>0.35947614811004769</v>
      </c>
    </row>
    <row r="297" spans="8:14" x14ac:dyDescent="0.3">
      <c r="H297">
        <v>15.75</v>
      </c>
      <c r="I297">
        <f t="shared" si="27"/>
        <v>450.75821257812504</v>
      </c>
      <c r="J297">
        <f t="shared" si="28"/>
        <v>450.76</v>
      </c>
      <c r="L297">
        <f t="shared" si="29"/>
        <v>450.39974100351571</v>
      </c>
      <c r="N297">
        <f t="shared" si="30"/>
        <v>0.35847157460932522</v>
      </c>
    </row>
    <row r="298" spans="8:14" x14ac:dyDescent="0.3">
      <c r="H298">
        <v>15.8</v>
      </c>
      <c r="I298">
        <f t="shared" si="27"/>
        <v>450.35163962239994</v>
      </c>
      <c r="J298">
        <f t="shared" si="28"/>
        <v>450.35</v>
      </c>
      <c r="L298">
        <f t="shared" si="29"/>
        <v>449.9941601974399</v>
      </c>
      <c r="N298">
        <f t="shared" si="30"/>
        <v>0.35747942496004725</v>
      </c>
    </row>
    <row r="299" spans="8:14" x14ac:dyDescent="0.3">
      <c r="H299">
        <v>15.85</v>
      </c>
      <c r="I299">
        <f t="shared" ref="I299:I362" si="31" xml:space="preserve"> 0.002484*H299^4 - 0.153172*H299^3 + 3.894909*H299^2 - 55.669943*H299 + 806.966612</f>
        <v>449.946842651525</v>
      </c>
      <c r="J299">
        <f t="shared" ref="J299:J362" si="32">ROUND(I299,2)</f>
        <v>449.95</v>
      </c>
      <c r="L299">
        <f t="shared" ref="L299:L362" si="33">0.0025609*H299^4-0.1569516*H299^3+3.9565541*H299^2-55.9808564*H299+806.2479852</f>
        <v>449.59034375695569</v>
      </c>
      <c r="N299">
        <f t="shared" ref="N299:N362" si="34">I299-L299</f>
        <v>0.35649889456931305</v>
      </c>
    </row>
    <row r="300" spans="8:14" x14ac:dyDescent="0.3">
      <c r="H300">
        <v>15.9</v>
      </c>
      <c r="I300">
        <f t="shared" si="31"/>
        <v>449.54382471439999</v>
      </c>
      <c r="J300">
        <f t="shared" si="32"/>
        <v>449.54</v>
      </c>
      <c r="L300">
        <f t="shared" si="33"/>
        <v>449.18829554708998</v>
      </c>
      <c r="N300">
        <f t="shared" si="34"/>
        <v>0.35552916731001005</v>
      </c>
    </row>
    <row r="301" spans="8:14" x14ac:dyDescent="0.3">
      <c r="H301">
        <v>15.95</v>
      </c>
      <c r="I301">
        <f t="shared" si="31"/>
        <v>449.1425892325251</v>
      </c>
      <c r="J301">
        <f t="shared" si="32"/>
        <v>449.14</v>
      </c>
      <c r="L301">
        <f t="shared" si="33"/>
        <v>448.78801981700565</v>
      </c>
      <c r="N301">
        <f t="shared" si="34"/>
        <v>0.35456941551944965</v>
      </c>
    </row>
    <row r="302" spans="8:14" x14ac:dyDescent="0.3">
      <c r="H302">
        <v>16</v>
      </c>
      <c r="I302">
        <f t="shared" si="31"/>
        <v>448.74314000000004</v>
      </c>
      <c r="J302">
        <f t="shared" si="32"/>
        <v>448.74</v>
      </c>
      <c r="L302">
        <f t="shared" si="33"/>
        <v>448.38952119999999</v>
      </c>
      <c r="N302">
        <f t="shared" si="34"/>
        <v>0.3536188000000493</v>
      </c>
    </row>
    <row r="303" spans="8:14" x14ac:dyDescent="0.3">
      <c r="H303">
        <v>16.05</v>
      </c>
      <c r="I303">
        <f t="shared" si="31"/>
        <v>448.34548118352495</v>
      </c>
      <c r="J303">
        <f t="shared" si="32"/>
        <v>448.35</v>
      </c>
      <c r="L303">
        <f t="shared" si="33"/>
        <v>447.99280471350562</v>
      </c>
      <c r="N303">
        <f t="shared" si="34"/>
        <v>0.35267647001933256</v>
      </c>
    </row>
    <row r="304" spans="8:14" x14ac:dyDescent="0.3">
      <c r="H304">
        <v>16.100000000000001</v>
      </c>
      <c r="I304">
        <f t="shared" si="31"/>
        <v>447.94961732240006</v>
      </c>
      <c r="J304">
        <f t="shared" si="32"/>
        <v>447.95</v>
      </c>
      <c r="L304">
        <f t="shared" si="33"/>
        <v>447.5978757590899</v>
      </c>
      <c r="N304">
        <f t="shared" si="34"/>
        <v>0.35174156331015638</v>
      </c>
    </row>
    <row r="305" spans="8:14" x14ac:dyDescent="0.3">
      <c r="H305">
        <v>16.149999999999999</v>
      </c>
      <c r="I305">
        <f t="shared" si="31"/>
        <v>447.55555332852498</v>
      </c>
      <c r="J305">
        <f t="shared" si="32"/>
        <v>447.56</v>
      </c>
      <c r="L305">
        <f t="shared" si="33"/>
        <v>447.20474012245563</v>
      </c>
      <c r="N305">
        <f t="shared" si="34"/>
        <v>0.35081320606934696</v>
      </c>
    </row>
    <row r="306" spans="8:14" x14ac:dyDescent="0.3">
      <c r="H306">
        <v>16.2</v>
      </c>
      <c r="I306">
        <f t="shared" si="31"/>
        <v>447.1632944864001</v>
      </c>
      <c r="J306">
        <f t="shared" si="32"/>
        <v>447.16</v>
      </c>
      <c r="L306">
        <f t="shared" si="33"/>
        <v>446.81340397344013</v>
      </c>
      <c r="N306">
        <f t="shared" si="34"/>
        <v>0.34989051295997342</v>
      </c>
    </row>
    <row r="307" spans="8:14" x14ac:dyDescent="0.3">
      <c r="H307">
        <v>16.25</v>
      </c>
      <c r="I307">
        <f t="shared" si="31"/>
        <v>446.772846453125</v>
      </c>
      <c r="J307">
        <f t="shared" si="32"/>
        <v>446.77</v>
      </c>
      <c r="L307">
        <f t="shared" si="33"/>
        <v>446.4238738660157</v>
      </c>
      <c r="N307">
        <f t="shared" si="34"/>
        <v>0.34897258710930146</v>
      </c>
    </row>
    <row r="308" spans="8:14" x14ac:dyDescent="0.3">
      <c r="H308">
        <v>16.3</v>
      </c>
      <c r="I308">
        <f t="shared" si="31"/>
        <v>446.38421525839999</v>
      </c>
      <c r="J308">
        <f t="shared" si="32"/>
        <v>446.38</v>
      </c>
      <c r="L308">
        <f t="shared" si="33"/>
        <v>446.03615673828983</v>
      </c>
      <c r="N308">
        <f t="shared" si="34"/>
        <v>0.34805852011015759</v>
      </c>
    </row>
    <row r="309" spans="8:14" x14ac:dyDescent="0.3">
      <c r="H309">
        <v>16.350000000000001</v>
      </c>
      <c r="I309">
        <f t="shared" si="31"/>
        <v>445.99740730452493</v>
      </c>
      <c r="J309">
        <f t="shared" si="32"/>
        <v>446</v>
      </c>
      <c r="L309">
        <f t="shared" si="33"/>
        <v>445.65025991250548</v>
      </c>
      <c r="N309">
        <f t="shared" si="34"/>
        <v>0.34714739201945122</v>
      </c>
    </row>
    <row r="310" spans="8:14" x14ac:dyDescent="0.3">
      <c r="H310">
        <v>16.399999999999999</v>
      </c>
      <c r="I310">
        <f t="shared" si="31"/>
        <v>445.61242936639997</v>
      </c>
      <c r="J310">
        <f t="shared" si="32"/>
        <v>445.61</v>
      </c>
      <c r="L310">
        <f t="shared" si="33"/>
        <v>445.26619109504009</v>
      </c>
      <c r="N310">
        <f t="shared" si="34"/>
        <v>0.34623827135987995</v>
      </c>
    </row>
    <row r="311" spans="8:14" x14ac:dyDescent="0.3">
      <c r="H311">
        <v>16.45</v>
      </c>
      <c r="I311">
        <f t="shared" si="31"/>
        <v>445.22928859152489</v>
      </c>
      <c r="J311">
        <f t="shared" si="32"/>
        <v>445.23</v>
      </c>
      <c r="L311">
        <f t="shared" si="33"/>
        <v>444.88395837640564</v>
      </c>
      <c r="N311">
        <f t="shared" si="34"/>
        <v>0.34533021511924744</v>
      </c>
    </row>
    <row r="312" spans="8:14" x14ac:dyDescent="0.3">
      <c r="H312">
        <v>16.5</v>
      </c>
      <c r="I312">
        <f t="shared" si="31"/>
        <v>444.84799250000003</v>
      </c>
      <c r="J312">
        <f t="shared" si="32"/>
        <v>444.85</v>
      </c>
      <c r="L312">
        <f t="shared" si="33"/>
        <v>444.50357023124991</v>
      </c>
      <c r="N312">
        <f t="shared" si="34"/>
        <v>0.34442226875012238</v>
      </c>
    </row>
    <row r="313" spans="8:14" x14ac:dyDescent="0.3">
      <c r="H313">
        <v>16.55</v>
      </c>
      <c r="I313">
        <f t="shared" si="31"/>
        <v>444.46854898452489</v>
      </c>
      <c r="J313">
        <f t="shared" si="32"/>
        <v>444.47</v>
      </c>
      <c r="L313">
        <f t="shared" si="33"/>
        <v>444.12503551835562</v>
      </c>
      <c r="N313">
        <f t="shared" si="34"/>
        <v>0.34351346616927003</v>
      </c>
    </row>
    <row r="314" spans="8:14" x14ac:dyDescent="0.3">
      <c r="H314">
        <v>16.600000000000001</v>
      </c>
      <c r="I314">
        <f t="shared" si="31"/>
        <v>444.09096631040018</v>
      </c>
      <c r="J314">
        <f t="shared" si="32"/>
        <v>444.09</v>
      </c>
      <c r="L314">
        <f t="shared" si="33"/>
        <v>443.74836348064002</v>
      </c>
      <c r="N314">
        <f t="shared" si="34"/>
        <v>0.34260282976015333</v>
      </c>
    </row>
    <row r="315" spans="8:14" x14ac:dyDescent="0.3">
      <c r="H315">
        <v>16.649999999999999</v>
      </c>
      <c r="I315">
        <f t="shared" si="31"/>
        <v>443.71525311552534</v>
      </c>
      <c r="J315">
        <f t="shared" si="32"/>
        <v>443.72</v>
      </c>
      <c r="L315">
        <f t="shared" si="33"/>
        <v>443.37356374515571</v>
      </c>
      <c r="N315">
        <f t="shared" si="34"/>
        <v>0.34168937036963598</v>
      </c>
    </row>
    <row r="316" spans="8:14" x14ac:dyDescent="0.3">
      <c r="H316">
        <v>16.7</v>
      </c>
      <c r="I316">
        <f t="shared" si="31"/>
        <v>443.34141841040002</v>
      </c>
      <c r="J316">
        <f t="shared" si="32"/>
        <v>443.34</v>
      </c>
      <c r="L316">
        <f t="shared" si="33"/>
        <v>443.00064632309</v>
      </c>
      <c r="N316">
        <f t="shared" si="34"/>
        <v>0.34077208731002884</v>
      </c>
    </row>
    <row r="317" spans="8:14" x14ac:dyDescent="0.3">
      <c r="H317">
        <v>16.75</v>
      </c>
      <c r="I317">
        <f t="shared" si="31"/>
        <v>442.96947157812508</v>
      </c>
      <c r="J317">
        <f t="shared" si="32"/>
        <v>442.97</v>
      </c>
      <c r="L317">
        <f t="shared" si="33"/>
        <v>442.62962160976576</v>
      </c>
      <c r="N317">
        <f t="shared" si="34"/>
        <v>0.33984996835931724</v>
      </c>
    </row>
    <row r="318" spans="8:14" x14ac:dyDescent="0.3">
      <c r="H318">
        <v>16.8</v>
      </c>
      <c r="I318">
        <f t="shared" si="31"/>
        <v>442.59942237439998</v>
      </c>
      <c r="J318">
        <f t="shared" si="32"/>
        <v>442.6</v>
      </c>
      <c r="L318">
        <f t="shared" si="33"/>
        <v>442.26050038463995</v>
      </c>
      <c r="N318">
        <f t="shared" si="34"/>
        <v>0.33892198976002419</v>
      </c>
    </row>
    <row r="319" spans="8:14" x14ac:dyDescent="0.3">
      <c r="H319">
        <v>16.850000000000001</v>
      </c>
      <c r="I319">
        <f t="shared" si="31"/>
        <v>442.23128092752518</v>
      </c>
      <c r="J319">
        <f t="shared" si="32"/>
        <v>442.23</v>
      </c>
      <c r="L319">
        <f t="shared" si="33"/>
        <v>441.89329381130563</v>
      </c>
      <c r="N319">
        <f t="shared" si="34"/>
        <v>0.33798711621955135</v>
      </c>
    </row>
    <row r="320" spans="8:14" x14ac:dyDescent="0.3">
      <c r="H320">
        <v>16.899999999999999</v>
      </c>
      <c r="I320">
        <f t="shared" si="31"/>
        <v>441.86505773840008</v>
      </c>
      <c r="J320">
        <f t="shared" si="32"/>
        <v>441.87</v>
      </c>
      <c r="L320">
        <f t="shared" si="33"/>
        <v>441.5280134374899</v>
      </c>
      <c r="N320">
        <f t="shared" si="34"/>
        <v>0.33704430091017912</v>
      </c>
    </row>
    <row r="321" spans="8:14" x14ac:dyDescent="0.3">
      <c r="H321">
        <v>16.9499999999999</v>
      </c>
      <c r="I321">
        <f t="shared" si="31"/>
        <v>441.50076368052578</v>
      </c>
      <c r="J321">
        <f t="shared" si="32"/>
        <v>441.5</v>
      </c>
      <c r="L321">
        <f t="shared" si="33"/>
        <v>441.16467119505626</v>
      </c>
      <c r="N321">
        <f t="shared" si="34"/>
        <v>0.33609248546952131</v>
      </c>
    </row>
    <row r="322" spans="8:14" x14ac:dyDescent="0.3">
      <c r="H322">
        <v>17</v>
      </c>
      <c r="I322">
        <f t="shared" si="31"/>
        <v>441.13841000000014</v>
      </c>
      <c r="J322">
        <f t="shared" si="32"/>
        <v>441.14</v>
      </c>
      <c r="L322">
        <f t="shared" si="33"/>
        <v>440.80327939999995</v>
      </c>
      <c r="N322">
        <f t="shared" si="34"/>
        <v>0.33513060000018413</v>
      </c>
    </row>
    <row r="323" spans="8:14" x14ac:dyDescent="0.3">
      <c r="H323">
        <v>17.05</v>
      </c>
      <c r="I323">
        <f t="shared" si="31"/>
        <v>440.7780083155252</v>
      </c>
      <c r="J323">
        <f t="shared" si="32"/>
        <v>440.78</v>
      </c>
      <c r="L323">
        <f t="shared" si="33"/>
        <v>440.44385075245577</v>
      </c>
      <c r="N323">
        <f t="shared" si="34"/>
        <v>0.33415756306942512</v>
      </c>
    </row>
    <row r="324" spans="8:14" x14ac:dyDescent="0.3">
      <c r="H324">
        <v>17.099999999999898</v>
      </c>
      <c r="I324">
        <f t="shared" si="31"/>
        <v>440.41957061840083</v>
      </c>
      <c r="J324">
        <f t="shared" si="32"/>
        <v>440.42</v>
      </c>
      <c r="L324">
        <f t="shared" si="33"/>
        <v>440.08639833669065</v>
      </c>
      <c r="N324">
        <f t="shared" si="34"/>
        <v>0.33317228171017632</v>
      </c>
    </row>
    <row r="325" spans="8:14" x14ac:dyDescent="0.3">
      <c r="H325">
        <v>17.149999999999899</v>
      </c>
      <c r="I325">
        <f t="shared" si="31"/>
        <v>440.06310927252582</v>
      </c>
      <c r="J325">
        <f t="shared" si="32"/>
        <v>440.06</v>
      </c>
      <c r="L325">
        <f t="shared" si="33"/>
        <v>439.73093562110625</v>
      </c>
      <c r="N325">
        <f t="shared" si="34"/>
        <v>0.33217365141956634</v>
      </c>
    </row>
    <row r="326" spans="8:14" x14ac:dyDescent="0.3">
      <c r="H326">
        <v>17.1999999999999</v>
      </c>
      <c r="I326">
        <f t="shared" si="31"/>
        <v>439.70863701440089</v>
      </c>
      <c r="J326">
        <f t="shared" si="32"/>
        <v>439.71</v>
      </c>
      <c r="L326">
        <f t="shared" si="33"/>
        <v>439.37747645824072</v>
      </c>
      <c r="N326">
        <f t="shared" si="34"/>
        <v>0.33116055616017093</v>
      </c>
    </row>
    <row r="327" spans="8:14" x14ac:dyDescent="0.3">
      <c r="H327">
        <v>17.25</v>
      </c>
      <c r="I327">
        <f t="shared" si="31"/>
        <v>439.35616695312524</v>
      </c>
      <c r="J327">
        <f t="shared" si="32"/>
        <v>439.36</v>
      </c>
      <c r="L327">
        <f t="shared" si="33"/>
        <v>439.02603508476579</v>
      </c>
      <c r="N327">
        <f t="shared" si="34"/>
        <v>0.33013186835944452</v>
      </c>
    </row>
    <row r="328" spans="8:14" x14ac:dyDescent="0.3">
      <c r="H328">
        <v>17.299999999999901</v>
      </c>
      <c r="I328">
        <f t="shared" si="31"/>
        <v>439.00571257040087</v>
      </c>
      <c r="J328">
        <f t="shared" si="32"/>
        <v>439.01</v>
      </c>
      <c r="L328">
        <f t="shared" si="33"/>
        <v>438.67662612149093</v>
      </c>
      <c r="N328">
        <f t="shared" si="34"/>
        <v>0.32908644890994765</v>
      </c>
    </row>
    <row r="329" spans="8:14" x14ac:dyDescent="0.3">
      <c r="H329">
        <v>17.349999999999898</v>
      </c>
      <c r="I329">
        <f t="shared" si="31"/>
        <v>438.65728772052591</v>
      </c>
      <c r="J329">
        <f t="shared" si="32"/>
        <v>438.66</v>
      </c>
      <c r="L329">
        <f t="shared" si="33"/>
        <v>438.32926457335623</v>
      </c>
      <c r="N329">
        <f t="shared" si="34"/>
        <v>0.32802314716968795</v>
      </c>
    </row>
    <row r="330" spans="8:14" x14ac:dyDescent="0.3">
      <c r="H330">
        <v>17.399999999999899</v>
      </c>
      <c r="I330">
        <f t="shared" si="31"/>
        <v>438.31090663040061</v>
      </c>
      <c r="J330">
        <f t="shared" si="32"/>
        <v>438.31</v>
      </c>
      <c r="L330">
        <f t="shared" si="33"/>
        <v>437.98396582944065</v>
      </c>
      <c r="N330">
        <f t="shared" si="34"/>
        <v>0.32694080095996014</v>
      </c>
    </row>
    <row r="331" spans="8:14" x14ac:dyDescent="0.3">
      <c r="H331">
        <v>17.4499999999999</v>
      </c>
      <c r="I331">
        <f t="shared" si="31"/>
        <v>437.96658389952574</v>
      </c>
      <c r="J331">
        <f t="shared" si="32"/>
        <v>437.97</v>
      </c>
      <c r="L331">
        <f t="shared" si="33"/>
        <v>437.64074566295642</v>
      </c>
      <c r="N331">
        <f t="shared" si="34"/>
        <v>0.32583823656932509</v>
      </c>
    </row>
    <row r="332" spans="8:14" x14ac:dyDescent="0.3">
      <c r="H332">
        <v>17.499999999999901</v>
      </c>
      <c r="I332">
        <f t="shared" si="31"/>
        <v>437.62433450000083</v>
      </c>
      <c r="J332">
        <f t="shared" si="32"/>
        <v>437.62</v>
      </c>
      <c r="L332">
        <f t="shared" si="33"/>
        <v>437.29962023125074</v>
      </c>
      <c r="N332">
        <f t="shared" si="34"/>
        <v>0.32471426875008547</v>
      </c>
    </row>
    <row r="333" spans="8:14" x14ac:dyDescent="0.3">
      <c r="H333">
        <v>17.549999999999901</v>
      </c>
      <c r="I333">
        <f t="shared" si="31"/>
        <v>437.28417377652579</v>
      </c>
      <c r="J333">
        <f t="shared" si="32"/>
        <v>437.28</v>
      </c>
      <c r="L333">
        <f t="shared" si="33"/>
        <v>436.96060607580625</v>
      </c>
      <c r="N333">
        <f t="shared" si="34"/>
        <v>0.32356770071953633</v>
      </c>
    </row>
    <row r="334" spans="8:14" x14ac:dyDescent="0.3">
      <c r="H334">
        <v>17.599999999999898</v>
      </c>
      <c r="I334">
        <f t="shared" si="31"/>
        <v>436.94611744640065</v>
      </c>
      <c r="J334">
        <f t="shared" si="32"/>
        <v>436.95</v>
      </c>
      <c r="L334">
        <f t="shared" si="33"/>
        <v>436.62372012224068</v>
      </c>
      <c r="N334">
        <f t="shared" si="34"/>
        <v>0.32239732415996514</v>
      </c>
    </row>
    <row r="335" spans="8:14" x14ac:dyDescent="0.3">
      <c r="H335">
        <v>17.649999999999899</v>
      </c>
      <c r="I335">
        <f t="shared" si="31"/>
        <v>436.61018159952573</v>
      </c>
      <c r="J335">
        <f t="shared" si="32"/>
        <v>436.61</v>
      </c>
      <c r="L335">
        <f t="shared" si="33"/>
        <v>436.28897968030628</v>
      </c>
      <c r="N335">
        <f t="shared" si="34"/>
        <v>0.32120191921944752</v>
      </c>
    </row>
    <row r="336" spans="8:14" x14ac:dyDescent="0.3">
      <c r="H336">
        <v>17.6999999999999</v>
      </c>
      <c r="I336">
        <f t="shared" si="31"/>
        <v>436.27638269840088</v>
      </c>
      <c r="J336">
        <f t="shared" si="32"/>
        <v>436.28</v>
      </c>
      <c r="L336">
        <f t="shared" si="33"/>
        <v>435.95640244389074</v>
      </c>
      <c r="N336">
        <f t="shared" si="34"/>
        <v>0.319980254510142</v>
      </c>
    </row>
    <row r="337" spans="8:14" x14ac:dyDescent="0.3">
      <c r="H337">
        <v>17.749999999999901</v>
      </c>
      <c r="I337">
        <f t="shared" si="31"/>
        <v>435.9447375781258</v>
      </c>
      <c r="J337">
        <f t="shared" si="32"/>
        <v>435.94</v>
      </c>
      <c r="L337">
        <f t="shared" si="33"/>
        <v>435.62600649101637</v>
      </c>
      <c r="N337">
        <f t="shared" si="34"/>
        <v>0.31873108710942688</v>
      </c>
    </row>
    <row r="338" spans="8:14" x14ac:dyDescent="0.3">
      <c r="H338">
        <v>17.799999999999901</v>
      </c>
      <c r="I338">
        <f t="shared" si="31"/>
        <v>435.61526344640072</v>
      </c>
      <c r="J338">
        <f t="shared" si="32"/>
        <v>435.62</v>
      </c>
      <c r="L338">
        <f t="shared" si="33"/>
        <v>435.29781028384059</v>
      </c>
      <c r="N338">
        <f t="shared" si="34"/>
        <v>0.31745316256012757</v>
      </c>
    </row>
    <row r="339" spans="8:14" x14ac:dyDescent="0.3">
      <c r="H339">
        <v>17.849999999999898</v>
      </c>
      <c r="I339">
        <f t="shared" si="31"/>
        <v>435.28797788352574</v>
      </c>
      <c r="J339">
        <f t="shared" si="32"/>
        <v>435.29</v>
      </c>
      <c r="L339">
        <f t="shared" si="33"/>
        <v>434.97183266865625</v>
      </c>
      <c r="N339">
        <f t="shared" si="34"/>
        <v>0.31614521486949343</v>
      </c>
    </row>
    <row r="340" spans="8:14" x14ac:dyDescent="0.3">
      <c r="H340">
        <v>17.899999999999899</v>
      </c>
      <c r="I340">
        <f t="shared" si="31"/>
        <v>434.96289884240082</v>
      </c>
      <c r="J340">
        <f t="shared" si="32"/>
        <v>434.96</v>
      </c>
      <c r="L340">
        <f t="shared" si="33"/>
        <v>434.6480928758906</v>
      </c>
      <c r="N340">
        <f t="shared" si="34"/>
        <v>0.31480596651022097</v>
      </c>
    </row>
    <row r="341" spans="8:14" x14ac:dyDescent="0.3">
      <c r="H341">
        <v>17.9499999999999</v>
      </c>
      <c r="I341">
        <f t="shared" si="31"/>
        <v>434.64004464852576</v>
      </c>
      <c r="J341">
        <f t="shared" si="32"/>
        <v>434.64</v>
      </c>
      <c r="L341">
        <f t="shared" si="33"/>
        <v>434.32661052010633</v>
      </c>
      <c r="N341">
        <f t="shared" si="34"/>
        <v>0.31343412841943064</v>
      </c>
    </row>
    <row r="342" spans="8:14" x14ac:dyDescent="0.3">
      <c r="H342">
        <v>17.999999999999901</v>
      </c>
      <c r="I342">
        <f t="shared" si="31"/>
        <v>434.31943400000046</v>
      </c>
      <c r="J342">
        <f t="shared" si="32"/>
        <v>434.32</v>
      </c>
      <c r="L342">
        <f t="shared" si="33"/>
        <v>434.00740560000065</v>
      </c>
      <c r="N342">
        <f t="shared" si="34"/>
        <v>0.3120283999998037</v>
      </c>
    </row>
    <row r="343" spans="8:14" x14ac:dyDescent="0.3">
      <c r="H343">
        <v>18.049999999999901</v>
      </c>
      <c r="I343">
        <f t="shared" si="31"/>
        <v>434.00108596752568</v>
      </c>
      <c r="J343">
        <f t="shared" si="32"/>
        <v>434</v>
      </c>
      <c r="L343">
        <f t="shared" si="33"/>
        <v>433.69049849840633</v>
      </c>
      <c r="N343">
        <f t="shared" si="34"/>
        <v>0.31058746911935486</v>
      </c>
    </row>
    <row r="344" spans="8:14" x14ac:dyDescent="0.3">
      <c r="H344">
        <v>18.099999999999898</v>
      </c>
      <c r="I344">
        <f t="shared" si="31"/>
        <v>433.6850199944007</v>
      </c>
      <c r="J344">
        <f t="shared" si="32"/>
        <v>433.69</v>
      </c>
      <c r="L344">
        <f t="shared" si="33"/>
        <v>433.37590998229086</v>
      </c>
      <c r="N344">
        <f t="shared" si="34"/>
        <v>0.30911001210984068</v>
      </c>
    </row>
    <row r="345" spans="8:14" x14ac:dyDescent="0.3">
      <c r="H345">
        <v>18.149999999999899</v>
      </c>
      <c r="I345">
        <f t="shared" si="31"/>
        <v>433.37125589652578</v>
      </c>
      <c r="J345">
        <f t="shared" si="32"/>
        <v>433.37</v>
      </c>
      <c r="L345">
        <f t="shared" si="33"/>
        <v>433.06366120275629</v>
      </c>
      <c r="N345">
        <f t="shared" si="34"/>
        <v>0.307594693769488</v>
      </c>
    </row>
    <row r="346" spans="8:14" x14ac:dyDescent="0.3">
      <c r="H346">
        <v>18.1999999999999</v>
      </c>
      <c r="I346">
        <f t="shared" si="31"/>
        <v>433.05981386240069</v>
      </c>
      <c r="J346">
        <f t="shared" si="32"/>
        <v>433.06</v>
      </c>
      <c r="L346">
        <f t="shared" si="33"/>
        <v>432.75377369504076</v>
      </c>
      <c r="N346">
        <f t="shared" si="34"/>
        <v>0.30604016735992445</v>
      </c>
    </row>
    <row r="347" spans="8:14" x14ac:dyDescent="0.3">
      <c r="H347">
        <v>18.249999999999901</v>
      </c>
      <c r="I347">
        <f t="shared" si="31"/>
        <v>432.75071445312551</v>
      </c>
      <c r="J347">
        <f t="shared" si="32"/>
        <v>432.75</v>
      </c>
      <c r="L347">
        <f t="shared" si="33"/>
        <v>432.44626937851626</v>
      </c>
      <c r="N347">
        <f t="shared" si="34"/>
        <v>0.30444507460924797</v>
      </c>
    </row>
    <row r="348" spans="8:14" x14ac:dyDescent="0.3">
      <c r="H348">
        <v>18.299999999999901</v>
      </c>
      <c r="I348">
        <f t="shared" si="31"/>
        <v>432.44397860240088</v>
      </c>
      <c r="J348">
        <f t="shared" si="32"/>
        <v>432.44</v>
      </c>
      <c r="L348">
        <f t="shared" si="33"/>
        <v>432.14117055669078</v>
      </c>
      <c r="N348">
        <f t="shared" si="34"/>
        <v>0.30280804571009412</v>
      </c>
    </row>
    <row r="349" spans="8:14" x14ac:dyDescent="0.3">
      <c r="H349">
        <v>18.349999999999898</v>
      </c>
      <c r="I349">
        <f t="shared" si="31"/>
        <v>432.13962761652567</v>
      </c>
      <c r="J349">
        <f t="shared" si="32"/>
        <v>432.14</v>
      </c>
      <c r="L349">
        <f t="shared" si="33"/>
        <v>431.83849991720615</v>
      </c>
      <c r="N349">
        <f t="shared" si="34"/>
        <v>0.30112769931952243</v>
      </c>
    </row>
    <row r="350" spans="8:14" x14ac:dyDescent="0.3">
      <c r="H350">
        <v>18.399999999999899</v>
      </c>
      <c r="I350">
        <f t="shared" si="31"/>
        <v>431.83768317440069</v>
      </c>
      <c r="J350">
        <f t="shared" si="32"/>
        <v>431.84</v>
      </c>
      <c r="L350">
        <f t="shared" si="33"/>
        <v>431.53828053184077</v>
      </c>
      <c r="N350">
        <f t="shared" si="34"/>
        <v>0.29940264255992588</v>
      </c>
    </row>
    <row r="351" spans="8:14" x14ac:dyDescent="0.3">
      <c r="H351">
        <v>18.4499999999999</v>
      </c>
      <c r="I351">
        <f t="shared" si="31"/>
        <v>431.5381673275258</v>
      </c>
      <c r="J351">
        <f t="shared" si="32"/>
        <v>431.54</v>
      </c>
      <c r="L351">
        <f t="shared" si="33"/>
        <v>431.2405358565062</v>
      </c>
      <c r="N351">
        <f t="shared" si="34"/>
        <v>0.2976314710195993</v>
      </c>
    </row>
    <row r="352" spans="8:14" x14ac:dyDescent="0.3">
      <c r="H352">
        <v>18.499999999999901</v>
      </c>
      <c r="I352">
        <f t="shared" si="31"/>
        <v>431.24110250000069</v>
      </c>
      <c r="J352">
        <f t="shared" si="32"/>
        <v>431.24</v>
      </c>
      <c r="L352">
        <f t="shared" si="33"/>
        <v>430.94528973125068</v>
      </c>
      <c r="N352">
        <f t="shared" si="34"/>
        <v>0.29581276875001095</v>
      </c>
    </row>
    <row r="353" spans="8:14" x14ac:dyDescent="0.3">
      <c r="H353">
        <v>18.549999999999901</v>
      </c>
      <c r="I353">
        <f t="shared" si="31"/>
        <v>430.94651148852552</v>
      </c>
      <c r="J353">
        <f t="shared" si="32"/>
        <v>430.95</v>
      </c>
      <c r="L353">
        <f t="shared" si="33"/>
        <v>430.65256638025619</v>
      </c>
      <c r="N353">
        <f t="shared" si="34"/>
        <v>0.29394510826932674</v>
      </c>
    </row>
    <row r="354" spans="8:14" x14ac:dyDescent="0.3">
      <c r="H354">
        <v>18.599999999999898</v>
      </c>
      <c r="I354">
        <f t="shared" si="31"/>
        <v>430.65441746240083</v>
      </c>
      <c r="J354">
        <f t="shared" si="32"/>
        <v>430.65</v>
      </c>
      <c r="L354">
        <f t="shared" si="33"/>
        <v>430.36239041184069</v>
      </c>
      <c r="N354">
        <f t="shared" si="34"/>
        <v>0.29202705056013656</v>
      </c>
    </row>
    <row r="355" spans="8:14" x14ac:dyDescent="0.3">
      <c r="H355">
        <v>18.649999999999899</v>
      </c>
      <c r="I355">
        <f t="shared" si="31"/>
        <v>430.36484396352557</v>
      </c>
      <c r="J355">
        <f t="shared" si="32"/>
        <v>430.36</v>
      </c>
      <c r="L355">
        <f t="shared" si="33"/>
        <v>430.07478681845612</v>
      </c>
      <c r="N355">
        <f t="shared" si="34"/>
        <v>0.29005714506945424</v>
      </c>
    </row>
    <row r="356" spans="8:14" x14ac:dyDescent="0.3">
      <c r="H356">
        <v>18.6999999999999</v>
      </c>
      <c r="I356">
        <f t="shared" si="31"/>
        <v>430.07781490640048</v>
      </c>
      <c r="J356">
        <f t="shared" si="32"/>
        <v>430.08</v>
      </c>
      <c r="L356">
        <f t="shared" si="33"/>
        <v>429.78978097669051</v>
      </c>
      <c r="N356">
        <f t="shared" si="34"/>
        <v>0.28803392970996811</v>
      </c>
    </row>
    <row r="357" spans="8:14" x14ac:dyDescent="0.3">
      <c r="H357">
        <v>18.749999999999901</v>
      </c>
      <c r="I357">
        <f t="shared" si="31"/>
        <v>429.79335457812556</v>
      </c>
      <c r="J357">
        <f t="shared" si="32"/>
        <v>429.79</v>
      </c>
      <c r="L357">
        <f t="shared" si="33"/>
        <v>429.50739864726609</v>
      </c>
      <c r="N357">
        <f t="shared" si="34"/>
        <v>0.28595593085947257</v>
      </c>
    </row>
    <row r="358" spans="8:14" x14ac:dyDescent="0.3">
      <c r="H358">
        <v>18.799999999999901</v>
      </c>
      <c r="I358">
        <f t="shared" si="31"/>
        <v>429.51148763840069</v>
      </c>
      <c r="J358">
        <f t="shared" si="32"/>
        <v>429.51</v>
      </c>
      <c r="L358">
        <f t="shared" si="33"/>
        <v>429.22766597504051</v>
      </c>
      <c r="N358">
        <f t="shared" si="34"/>
        <v>0.28382166336018599</v>
      </c>
    </row>
    <row r="359" spans="8:14" x14ac:dyDescent="0.3">
      <c r="H359">
        <v>18.849999999999898</v>
      </c>
      <c r="I359">
        <f t="shared" si="31"/>
        <v>429.2322391195255</v>
      </c>
      <c r="J359">
        <f t="shared" si="32"/>
        <v>429.23</v>
      </c>
      <c r="L359">
        <f t="shared" si="33"/>
        <v>428.95060948900618</v>
      </c>
      <c r="N359">
        <f t="shared" si="34"/>
        <v>0.28162963051931911</v>
      </c>
    </row>
    <row r="360" spans="8:14" x14ac:dyDescent="0.3">
      <c r="H360">
        <v>18.899999999999899</v>
      </c>
      <c r="I360">
        <f t="shared" si="31"/>
        <v>428.95563442640071</v>
      </c>
      <c r="J360">
        <f t="shared" si="32"/>
        <v>428.96</v>
      </c>
      <c r="L360">
        <f t="shared" si="33"/>
        <v>428.67625610229049</v>
      </c>
      <c r="N360">
        <f t="shared" si="34"/>
        <v>0.27937832411021191</v>
      </c>
    </row>
    <row r="361" spans="8:14" x14ac:dyDescent="0.3">
      <c r="H361">
        <v>18.9499999999999</v>
      </c>
      <c r="I361">
        <f t="shared" si="31"/>
        <v>428.68169933652541</v>
      </c>
      <c r="J361">
        <f t="shared" si="32"/>
        <v>428.68</v>
      </c>
      <c r="L361">
        <f t="shared" si="33"/>
        <v>428.40463311215615</v>
      </c>
      <c r="N361">
        <f t="shared" si="34"/>
        <v>0.27706622436926409</v>
      </c>
    </row>
    <row r="362" spans="8:14" x14ac:dyDescent="0.3">
      <c r="H362">
        <v>18.999999999999901</v>
      </c>
      <c r="I362">
        <f t="shared" si="31"/>
        <v>428.41046000000085</v>
      </c>
      <c r="J362">
        <f t="shared" si="32"/>
        <v>428.41</v>
      </c>
      <c r="L362">
        <f t="shared" si="33"/>
        <v>428.13576820000083</v>
      </c>
      <c r="N362">
        <f t="shared" si="34"/>
        <v>0.2746918000000278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zoomScale="85" zoomScaleNormal="85" workbookViewId="0">
      <selection activeCell="G2" sqref="G2"/>
    </sheetView>
  </sheetViews>
  <sheetFormatPr defaultColWidth="8.77734375" defaultRowHeight="14.4" x14ac:dyDescent="0.3"/>
  <cols>
    <col min="1" max="2" width="11.77734375" customWidth="1"/>
    <col min="3" max="3" width="16.21875" customWidth="1"/>
    <col min="4" max="4" width="11.44140625" customWidth="1"/>
    <col min="6" max="6" width="11.77734375" customWidth="1"/>
  </cols>
  <sheetData>
    <row r="1" spans="1:7" x14ac:dyDescent="0.3">
      <c r="A1" t="s">
        <v>2</v>
      </c>
      <c r="C1" t="s">
        <v>3</v>
      </c>
      <c r="D1" t="s">
        <v>6</v>
      </c>
      <c r="F1" t="s">
        <v>2</v>
      </c>
      <c r="G1" t="s">
        <v>1</v>
      </c>
    </row>
    <row r="2" spans="1:7" x14ac:dyDescent="0.3">
      <c r="A2">
        <v>3</v>
      </c>
      <c r="B2">
        <f>A2/10</f>
        <v>0.3</v>
      </c>
      <c r="C2">
        <v>673.03</v>
      </c>
      <c r="D2">
        <v>16.07</v>
      </c>
      <c r="F2">
        <v>3</v>
      </c>
      <c r="G2">
        <f>28.9992*(F2/10)^4 - 173.9035*(F2/10)^3 + 427.7295*(F2/10)^2 - 588.2962*(F2/10) +814.8801</f>
        <v>672.42639401999998</v>
      </c>
    </row>
    <row r="3" spans="1:7" x14ac:dyDescent="0.3">
      <c r="A3">
        <v>3.5</v>
      </c>
      <c r="B3">
        <f>A3/10</f>
        <v>0.35</v>
      </c>
      <c r="C3">
        <v>654.37</v>
      </c>
      <c r="D3">
        <v>16.07</v>
      </c>
      <c r="F3">
        <v>3.5</v>
      </c>
      <c r="G3">
        <f t="shared" ref="G3:G34" si="0">28.9992*(F3/10)^4 - 173.9035*(F3/10)^3 + 427.7295*(F3/10)^2 - 588.2962*(F3/10) +814.8801</f>
        <v>654.35235043249997</v>
      </c>
    </row>
    <row r="4" spans="1:7" x14ac:dyDescent="0.3">
      <c r="A4">
        <v>4</v>
      </c>
      <c r="B4">
        <f t="shared" ref="B4:B34" si="1">A4/10</f>
        <v>0.4</v>
      </c>
      <c r="C4">
        <v>636.97</v>
      </c>
      <c r="D4">
        <v>16.079999999999998</v>
      </c>
      <c r="F4">
        <v>4</v>
      </c>
      <c r="G4">
        <f t="shared" si="0"/>
        <v>637.61089551999999</v>
      </c>
    </row>
    <row r="5" spans="1:7" x14ac:dyDescent="0.3">
      <c r="A5">
        <v>4.5</v>
      </c>
      <c r="B5">
        <f t="shared" si="1"/>
        <v>0.45</v>
      </c>
      <c r="C5">
        <v>621.91999999999996</v>
      </c>
      <c r="D5">
        <v>16.09</v>
      </c>
      <c r="F5">
        <v>4.5</v>
      </c>
      <c r="G5">
        <f t="shared" si="0"/>
        <v>622.10422575749999</v>
      </c>
    </row>
    <row r="6" spans="1:7" x14ac:dyDescent="0.3">
      <c r="A6">
        <v>5</v>
      </c>
      <c r="B6">
        <f t="shared" si="1"/>
        <v>0.5</v>
      </c>
      <c r="C6">
        <v>607.49</v>
      </c>
      <c r="D6">
        <v>16.09</v>
      </c>
      <c r="F6">
        <v>5</v>
      </c>
      <c r="G6">
        <f t="shared" si="0"/>
        <v>607.73888749999992</v>
      </c>
    </row>
    <row r="7" spans="1:7" x14ac:dyDescent="0.3">
      <c r="A7">
        <v>5.5</v>
      </c>
      <c r="B7">
        <f t="shared" si="1"/>
        <v>0.55000000000000004</v>
      </c>
      <c r="C7">
        <v>594.4</v>
      </c>
      <c r="D7">
        <v>16.100000000000001</v>
      </c>
      <c r="F7">
        <v>5.5</v>
      </c>
      <c r="G7">
        <f t="shared" si="0"/>
        <v>594.42577698249988</v>
      </c>
    </row>
    <row r="8" spans="1:7" x14ac:dyDescent="0.3">
      <c r="A8">
        <v>6</v>
      </c>
      <c r="B8">
        <f t="shared" si="1"/>
        <v>0.6</v>
      </c>
      <c r="C8">
        <v>581.97</v>
      </c>
      <c r="D8">
        <v>16.100000000000001</v>
      </c>
      <c r="F8">
        <v>6</v>
      </c>
      <c r="G8">
        <f t="shared" si="0"/>
        <v>582.08014032000005</v>
      </c>
    </row>
    <row r="9" spans="1:7" x14ac:dyDescent="0.3">
      <c r="A9">
        <v>6.5</v>
      </c>
      <c r="B9">
        <f t="shared" si="1"/>
        <v>0.65</v>
      </c>
      <c r="C9">
        <v>570.55999999999995</v>
      </c>
      <c r="D9">
        <v>16.100000000000001</v>
      </c>
      <c r="F9">
        <v>6.5</v>
      </c>
      <c r="G9">
        <f t="shared" si="0"/>
        <v>570.62157350749999</v>
      </c>
    </row>
    <row r="10" spans="1:7" x14ac:dyDescent="0.3">
      <c r="A10">
        <v>7</v>
      </c>
      <c r="B10">
        <f t="shared" si="1"/>
        <v>0.7</v>
      </c>
      <c r="C10">
        <v>560.19000000000005</v>
      </c>
      <c r="D10">
        <v>16.11</v>
      </c>
      <c r="F10">
        <v>7</v>
      </c>
      <c r="G10">
        <f t="shared" si="0"/>
        <v>559.97402241999998</v>
      </c>
    </row>
    <row r="11" spans="1:7" x14ac:dyDescent="0.3">
      <c r="A11">
        <v>7.5</v>
      </c>
      <c r="B11">
        <f t="shared" si="1"/>
        <v>0.75</v>
      </c>
      <c r="C11">
        <v>550.13</v>
      </c>
      <c r="D11">
        <v>16.11</v>
      </c>
      <c r="F11">
        <v>7.5</v>
      </c>
      <c r="G11">
        <f t="shared" si="0"/>
        <v>550.06578281249995</v>
      </c>
    </row>
    <row r="12" spans="1:7" x14ac:dyDescent="0.3">
      <c r="A12">
        <v>8</v>
      </c>
      <c r="B12">
        <f t="shared" si="1"/>
        <v>0.8</v>
      </c>
      <c r="C12">
        <v>541.13</v>
      </c>
      <c r="D12">
        <v>16.12</v>
      </c>
      <c r="F12">
        <v>8</v>
      </c>
      <c r="G12">
        <f t="shared" si="0"/>
        <v>540.82950031999997</v>
      </c>
    </row>
    <row r="13" spans="1:7" x14ac:dyDescent="0.3">
      <c r="A13">
        <v>8.5</v>
      </c>
      <c r="B13">
        <f t="shared" si="1"/>
        <v>0.85</v>
      </c>
      <c r="C13">
        <v>532.46</v>
      </c>
      <c r="D13">
        <v>16.12</v>
      </c>
      <c r="F13">
        <v>8.5</v>
      </c>
      <c r="G13">
        <f t="shared" si="0"/>
        <v>532.20217045749996</v>
      </c>
    </row>
    <row r="14" spans="1:7" x14ac:dyDescent="0.3">
      <c r="A14">
        <v>9</v>
      </c>
      <c r="B14">
        <f t="shared" si="1"/>
        <v>0.9</v>
      </c>
      <c r="C14">
        <v>524.13</v>
      </c>
      <c r="D14">
        <v>16.13</v>
      </c>
      <c r="F14">
        <v>9</v>
      </c>
      <c r="G14">
        <f t="shared" si="0"/>
        <v>524.12513861999992</v>
      </c>
    </row>
    <row r="15" spans="1:7" x14ac:dyDescent="0.3">
      <c r="A15">
        <v>9.5</v>
      </c>
      <c r="B15">
        <f t="shared" si="1"/>
        <v>0.95</v>
      </c>
      <c r="C15">
        <v>516.87</v>
      </c>
      <c r="D15">
        <v>16.13</v>
      </c>
      <c r="F15">
        <v>9.5</v>
      </c>
      <c r="G15">
        <f t="shared" si="0"/>
        <v>516.54410008249988</v>
      </c>
    </row>
    <row r="16" spans="1:7" x14ac:dyDescent="0.3">
      <c r="A16">
        <v>10</v>
      </c>
      <c r="B16">
        <f t="shared" si="1"/>
        <v>1</v>
      </c>
      <c r="C16">
        <v>509.6</v>
      </c>
      <c r="D16">
        <v>16.14</v>
      </c>
      <c r="F16">
        <v>10</v>
      </c>
      <c r="G16">
        <f t="shared" si="0"/>
        <v>509.40909999999997</v>
      </c>
    </row>
    <row r="17" spans="1:7" x14ac:dyDescent="0.3">
      <c r="A17">
        <v>10.5</v>
      </c>
      <c r="B17">
        <f t="shared" si="1"/>
        <v>1.05</v>
      </c>
      <c r="C17">
        <v>502.67</v>
      </c>
      <c r="D17">
        <v>16.14</v>
      </c>
      <c r="F17">
        <v>10.5</v>
      </c>
      <c r="G17">
        <f t="shared" si="0"/>
        <v>502.67453340749995</v>
      </c>
    </row>
    <row r="18" spans="1:7" x14ac:dyDescent="0.3">
      <c r="A18">
        <v>11</v>
      </c>
      <c r="B18">
        <f t="shared" si="1"/>
        <v>1.1000000000000001</v>
      </c>
      <c r="C18">
        <v>496.1</v>
      </c>
      <c r="D18">
        <v>16.149999999999999</v>
      </c>
      <c r="F18">
        <v>11</v>
      </c>
      <c r="G18">
        <f t="shared" si="0"/>
        <v>496.2991452199999</v>
      </c>
    </row>
    <row r="19" spans="1:7" x14ac:dyDescent="0.3">
      <c r="A19">
        <v>11.5</v>
      </c>
      <c r="B19">
        <f t="shared" si="1"/>
        <v>1.1499999999999999</v>
      </c>
      <c r="C19">
        <v>490.24</v>
      </c>
      <c r="D19">
        <v>16.149999999999999</v>
      </c>
      <c r="F19">
        <v>11.5</v>
      </c>
      <c r="G19">
        <f t="shared" si="0"/>
        <v>490.24603023249989</v>
      </c>
    </row>
    <row r="20" spans="1:7" x14ac:dyDescent="0.3">
      <c r="A20">
        <v>12</v>
      </c>
      <c r="B20">
        <f t="shared" si="1"/>
        <v>1.2</v>
      </c>
      <c r="C20">
        <v>484.38</v>
      </c>
      <c r="D20">
        <v>16.149999999999999</v>
      </c>
      <c r="F20">
        <v>12</v>
      </c>
      <c r="G20">
        <f t="shared" si="0"/>
        <v>484.48263312</v>
      </c>
    </row>
    <row r="21" spans="1:7" x14ac:dyDescent="0.3">
      <c r="A21">
        <v>12.5</v>
      </c>
      <c r="B21">
        <f t="shared" si="1"/>
        <v>1.25</v>
      </c>
      <c r="C21">
        <v>478.87</v>
      </c>
      <c r="D21">
        <v>16.16</v>
      </c>
      <c r="F21">
        <v>12.5</v>
      </c>
      <c r="G21">
        <f t="shared" si="0"/>
        <v>478.98074843749998</v>
      </c>
    </row>
    <row r="22" spans="1:7" x14ac:dyDescent="0.3">
      <c r="A22">
        <v>13</v>
      </c>
      <c r="B22">
        <f t="shared" si="1"/>
        <v>1.3</v>
      </c>
      <c r="C22">
        <v>473.35</v>
      </c>
      <c r="D22">
        <v>16.16</v>
      </c>
      <c r="F22">
        <v>13</v>
      </c>
      <c r="G22">
        <f t="shared" si="0"/>
        <v>473.71652061999987</v>
      </c>
    </row>
    <row r="23" spans="1:7" x14ac:dyDescent="0.3">
      <c r="A23">
        <v>13.5</v>
      </c>
      <c r="B23">
        <f t="shared" si="1"/>
        <v>1.35</v>
      </c>
      <c r="C23">
        <v>468.56</v>
      </c>
      <c r="D23">
        <v>16.170000000000002</v>
      </c>
      <c r="F23">
        <v>13.5</v>
      </c>
      <c r="G23">
        <f t="shared" si="0"/>
        <v>468.67044398249993</v>
      </c>
    </row>
    <row r="24" spans="1:7" x14ac:dyDescent="0.3">
      <c r="A24">
        <v>14</v>
      </c>
      <c r="B24">
        <f t="shared" si="1"/>
        <v>1.4</v>
      </c>
      <c r="C24">
        <v>463.77</v>
      </c>
      <c r="D24">
        <v>16.170000000000002</v>
      </c>
      <c r="F24">
        <v>14</v>
      </c>
      <c r="G24">
        <f t="shared" si="0"/>
        <v>463.82736271999988</v>
      </c>
    </row>
    <row r="25" spans="1:7" x14ac:dyDescent="0.3">
      <c r="A25">
        <v>14.5</v>
      </c>
      <c r="B25">
        <f t="shared" si="1"/>
        <v>1.45</v>
      </c>
      <c r="C25">
        <v>458.97</v>
      </c>
      <c r="D25">
        <v>16.170000000000002</v>
      </c>
      <c r="F25">
        <v>14.5</v>
      </c>
      <c r="G25">
        <f t="shared" si="0"/>
        <v>459.17647090749989</v>
      </c>
    </row>
    <row r="26" spans="1:7" x14ac:dyDescent="0.3">
      <c r="A26">
        <v>15</v>
      </c>
      <c r="B26">
        <f t="shared" si="1"/>
        <v>1.5</v>
      </c>
      <c r="C26">
        <v>454.53</v>
      </c>
      <c r="D26">
        <v>16.18</v>
      </c>
      <c r="F26">
        <v>15</v>
      </c>
      <c r="G26">
        <f t="shared" si="0"/>
        <v>454.71131249999985</v>
      </c>
    </row>
    <row r="27" spans="1:7" x14ac:dyDescent="0.3">
      <c r="A27">
        <v>15.5</v>
      </c>
      <c r="B27">
        <f t="shared" si="1"/>
        <v>1.55</v>
      </c>
      <c r="C27">
        <v>450.46</v>
      </c>
      <c r="D27">
        <v>16.18</v>
      </c>
      <c r="F27">
        <v>15.5</v>
      </c>
      <c r="G27">
        <f t="shared" si="0"/>
        <v>450.42978133250017</v>
      </c>
    </row>
    <row r="28" spans="1:7" x14ac:dyDescent="0.3">
      <c r="A28">
        <v>16</v>
      </c>
      <c r="B28">
        <f t="shared" si="1"/>
        <v>1.6</v>
      </c>
      <c r="C28">
        <v>446.38</v>
      </c>
      <c r="D28">
        <v>16.190000000000001</v>
      </c>
      <c r="F28">
        <v>16</v>
      </c>
      <c r="G28">
        <f t="shared" si="0"/>
        <v>446.33412111999985</v>
      </c>
    </row>
    <row r="29" spans="1:7" x14ac:dyDescent="0.3">
      <c r="A29">
        <v>16.5</v>
      </c>
      <c r="B29">
        <f t="shared" si="1"/>
        <v>1.65</v>
      </c>
      <c r="C29">
        <v>442.67</v>
      </c>
      <c r="D29">
        <v>16.190000000000001</v>
      </c>
      <c r="F29">
        <v>16.5</v>
      </c>
      <c r="G29">
        <f t="shared" si="0"/>
        <v>442.43092545749971</v>
      </c>
    </row>
    <row r="30" spans="1:7" x14ac:dyDescent="0.3">
      <c r="A30">
        <v>17</v>
      </c>
      <c r="B30">
        <f t="shared" si="1"/>
        <v>1.7</v>
      </c>
      <c r="C30">
        <v>438.96</v>
      </c>
      <c r="D30">
        <v>16.2</v>
      </c>
      <c r="F30">
        <v>17</v>
      </c>
      <c r="G30">
        <f t="shared" si="0"/>
        <v>438.73113781999996</v>
      </c>
    </row>
    <row r="31" spans="1:7" x14ac:dyDescent="0.3">
      <c r="A31">
        <v>17.5</v>
      </c>
      <c r="B31">
        <f t="shared" si="1"/>
        <v>1.75</v>
      </c>
      <c r="C31">
        <v>435.61</v>
      </c>
      <c r="D31">
        <v>16.2</v>
      </c>
      <c r="F31">
        <v>17.5</v>
      </c>
      <c r="G31">
        <f t="shared" si="0"/>
        <v>435.25005156249961</v>
      </c>
    </row>
    <row r="32" spans="1:7" x14ac:dyDescent="0.3">
      <c r="A32">
        <v>18</v>
      </c>
      <c r="B32">
        <f t="shared" si="1"/>
        <v>1.8</v>
      </c>
      <c r="C32">
        <v>432.26</v>
      </c>
      <c r="D32">
        <v>16.2</v>
      </c>
      <c r="F32">
        <v>18</v>
      </c>
      <c r="G32">
        <f t="shared" si="0"/>
        <v>432.00730991999978</v>
      </c>
    </row>
    <row r="33" spans="1:7" x14ac:dyDescent="0.3">
      <c r="A33">
        <v>18.5</v>
      </c>
      <c r="B33">
        <f t="shared" si="1"/>
        <v>1.85</v>
      </c>
      <c r="C33">
        <v>428.91</v>
      </c>
      <c r="D33">
        <v>16.21</v>
      </c>
      <c r="F33">
        <v>18.5</v>
      </c>
      <c r="G33">
        <f t="shared" si="0"/>
        <v>429.02690600749986</v>
      </c>
    </row>
    <row r="34" spans="1:7" x14ac:dyDescent="0.3">
      <c r="A34">
        <v>19</v>
      </c>
      <c r="B34">
        <f t="shared" si="1"/>
        <v>1.9</v>
      </c>
      <c r="C34">
        <v>425.93</v>
      </c>
      <c r="D34">
        <v>16.21</v>
      </c>
      <c r="F34">
        <v>19</v>
      </c>
      <c r="G34">
        <f t="shared" si="0"/>
        <v>426.33718281999984</v>
      </c>
    </row>
    <row r="37" spans="1:7" x14ac:dyDescent="0.3">
      <c r="A37" t="s">
        <v>4</v>
      </c>
      <c r="C37">
        <v>490.24</v>
      </c>
      <c r="D37">
        <v>16.22</v>
      </c>
      <c r="F37" t="s">
        <v>4</v>
      </c>
    </row>
    <row r="38" spans="1:7" x14ac:dyDescent="0.3">
      <c r="A38" t="s">
        <v>5</v>
      </c>
      <c r="C38">
        <v>490.24</v>
      </c>
      <c r="D38">
        <v>16.22</v>
      </c>
      <c r="F38" t="s">
        <v>5</v>
      </c>
    </row>
  </sheetData>
  <phoneticPr fontId="1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05AC-A25A-4F3F-A8A0-8401DEBCF023}">
  <dimension ref="A1:F38"/>
  <sheetViews>
    <sheetView workbookViewId="0">
      <selection activeCell="F4" sqref="F4"/>
    </sheetView>
  </sheetViews>
  <sheetFormatPr defaultRowHeight="14.4" x14ac:dyDescent="0.3"/>
  <cols>
    <col min="4" max="4" width="16.21875" customWidth="1"/>
  </cols>
  <sheetData>
    <row r="1" spans="1:6" x14ac:dyDescent="0.3">
      <c r="A1" t="s">
        <v>2</v>
      </c>
      <c r="B1" t="s">
        <v>11</v>
      </c>
      <c r="D1" t="s">
        <v>3</v>
      </c>
    </row>
    <row r="2" spans="1:6" x14ac:dyDescent="0.3">
      <c r="A2">
        <v>3</v>
      </c>
      <c r="B2">
        <v>674.06</v>
      </c>
      <c r="D2">
        <v>673.03</v>
      </c>
      <c r="F2">
        <v>3</v>
      </c>
    </row>
    <row r="3" spans="1:6" x14ac:dyDescent="0.3">
      <c r="A3">
        <v>4</v>
      </c>
      <c r="B3">
        <v>638.36</v>
      </c>
      <c r="D3">
        <v>654.37</v>
      </c>
      <c r="F3">
        <v>3.05</v>
      </c>
    </row>
    <row r="4" spans="1:6" x14ac:dyDescent="0.3">
      <c r="A4">
        <v>5</v>
      </c>
      <c r="B4">
        <v>608.54999999999995</v>
      </c>
      <c r="D4">
        <v>636.97</v>
      </c>
    </row>
    <row r="5" spans="1:6" x14ac:dyDescent="0.3">
      <c r="A5">
        <v>6</v>
      </c>
      <c r="B5">
        <v>582.33000000000004</v>
      </c>
      <c r="D5">
        <v>621.91999999999996</v>
      </c>
    </row>
    <row r="6" spans="1:6" x14ac:dyDescent="0.3">
      <c r="A6">
        <v>7</v>
      </c>
      <c r="B6">
        <v>560.9</v>
      </c>
      <c r="D6">
        <v>607.49</v>
      </c>
    </row>
    <row r="7" spans="1:6" x14ac:dyDescent="0.3">
      <c r="A7">
        <v>8</v>
      </c>
      <c r="B7">
        <v>541.85</v>
      </c>
      <c r="D7">
        <v>594.4</v>
      </c>
    </row>
    <row r="8" spans="1:6" x14ac:dyDescent="0.3">
      <c r="A8">
        <v>9</v>
      </c>
      <c r="B8">
        <v>524.86</v>
      </c>
      <c r="D8">
        <v>581.97</v>
      </c>
    </row>
    <row r="9" spans="1:6" x14ac:dyDescent="0.3">
      <c r="A9">
        <v>10</v>
      </c>
      <c r="B9">
        <v>509.96</v>
      </c>
      <c r="D9">
        <v>570.55999999999995</v>
      </c>
    </row>
    <row r="10" spans="1:6" x14ac:dyDescent="0.3">
      <c r="A10">
        <v>11</v>
      </c>
      <c r="B10">
        <v>496.46</v>
      </c>
      <c r="D10">
        <v>560.19000000000005</v>
      </c>
    </row>
    <row r="11" spans="1:6" x14ac:dyDescent="0.3">
      <c r="A11">
        <v>12</v>
      </c>
      <c r="B11">
        <v>484.74</v>
      </c>
      <c r="D11">
        <v>550.13</v>
      </c>
    </row>
    <row r="12" spans="1:6" x14ac:dyDescent="0.3">
      <c r="A12">
        <v>13</v>
      </c>
      <c r="B12">
        <v>473.72</v>
      </c>
      <c r="D12">
        <v>541.13</v>
      </c>
    </row>
    <row r="13" spans="1:6" x14ac:dyDescent="0.3">
      <c r="A13">
        <v>14</v>
      </c>
      <c r="B13">
        <v>464.14</v>
      </c>
      <c r="D13">
        <v>532.46</v>
      </c>
    </row>
    <row r="14" spans="1:6" x14ac:dyDescent="0.3">
      <c r="A14">
        <v>15</v>
      </c>
      <c r="B14">
        <v>455.27</v>
      </c>
      <c r="D14">
        <v>524.13</v>
      </c>
    </row>
    <row r="15" spans="1:6" x14ac:dyDescent="0.3">
      <c r="A15">
        <v>16</v>
      </c>
      <c r="B15">
        <v>447.12</v>
      </c>
      <c r="D15">
        <v>516.87</v>
      </c>
    </row>
    <row r="16" spans="1:6" x14ac:dyDescent="0.3">
      <c r="A16">
        <v>17</v>
      </c>
      <c r="B16">
        <v>439.33</v>
      </c>
      <c r="D16">
        <v>509.6</v>
      </c>
    </row>
    <row r="17" spans="1:4" x14ac:dyDescent="0.3">
      <c r="A17">
        <v>18</v>
      </c>
      <c r="B17">
        <v>432.63</v>
      </c>
      <c r="D17">
        <v>502.67</v>
      </c>
    </row>
    <row r="18" spans="1:4" x14ac:dyDescent="0.3">
      <c r="A18">
        <v>19</v>
      </c>
      <c r="B18">
        <v>426.3</v>
      </c>
      <c r="D18">
        <v>496.1</v>
      </c>
    </row>
    <row r="19" spans="1:4" x14ac:dyDescent="0.3">
      <c r="D19">
        <v>490.24</v>
      </c>
    </row>
    <row r="20" spans="1:4" x14ac:dyDescent="0.3">
      <c r="D20">
        <v>484.38</v>
      </c>
    </row>
    <row r="21" spans="1:4" x14ac:dyDescent="0.3">
      <c r="D21">
        <v>478.87</v>
      </c>
    </row>
    <row r="22" spans="1:4" x14ac:dyDescent="0.3">
      <c r="D22">
        <v>473.35</v>
      </c>
    </row>
    <row r="23" spans="1:4" x14ac:dyDescent="0.3">
      <c r="D23">
        <v>468.56</v>
      </c>
    </row>
    <row r="24" spans="1:4" x14ac:dyDescent="0.3">
      <c r="D24">
        <v>463.77</v>
      </c>
    </row>
    <row r="25" spans="1:4" x14ac:dyDescent="0.3">
      <c r="D25">
        <v>458.97</v>
      </c>
    </row>
    <row r="26" spans="1:4" x14ac:dyDescent="0.3">
      <c r="D26">
        <v>454.53</v>
      </c>
    </row>
    <row r="27" spans="1:4" x14ac:dyDescent="0.3">
      <c r="D27">
        <v>450.46</v>
      </c>
    </row>
    <row r="28" spans="1:4" x14ac:dyDescent="0.3">
      <c r="D28">
        <v>446.38</v>
      </c>
    </row>
    <row r="29" spans="1:4" x14ac:dyDescent="0.3">
      <c r="D29">
        <v>442.67</v>
      </c>
    </row>
    <row r="30" spans="1:4" x14ac:dyDescent="0.3">
      <c r="D30">
        <v>438.96</v>
      </c>
    </row>
    <row r="31" spans="1:4" x14ac:dyDescent="0.3">
      <c r="D31">
        <v>435.61</v>
      </c>
    </row>
    <row r="32" spans="1:4" x14ac:dyDescent="0.3">
      <c r="D32">
        <v>432.26</v>
      </c>
    </row>
    <row r="33" spans="4:4" x14ac:dyDescent="0.3">
      <c r="D33">
        <v>428.91</v>
      </c>
    </row>
    <row r="34" spans="4:4" x14ac:dyDescent="0.3">
      <c r="D34">
        <v>425.93</v>
      </c>
    </row>
    <row r="37" spans="4:4" x14ac:dyDescent="0.3">
      <c r="D37">
        <v>490.24</v>
      </c>
    </row>
    <row r="38" spans="4:4" x14ac:dyDescent="0.3">
      <c r="D38">
        <v>490.24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DE73-6727-4FCD-97B1-DC0143F1B149}">
  <dimension ref="A1:K322"/>
  <sheetViews>
    <sheetView workbookViewId="0">
      <selection activeCell="K2" sqref="K2:K322"/>
    </sheetView>
  </sheetViews>
  <sheetFormatPr defaultRowHeight="14.4" x14ac:dyDescent="0.3"/>
  <cols>
    <col min="5" max="5" width="15.44140625" customWidth="1"/>
    <col min="10" max="10" width="11.77734375" bestFit="1" customWidth="1"/>
  </cols>
  <sheetData>
    <row r="1" spans="1:11" x14ac:dyDescent="0.3">
      <c r="A1" t="s">
        <v>2</v>
      </c>
      <c r="B1" t="s">
        <v>1</v>
      </c>
      <c r="E1" t="s">
        <v>9</v>
      </c>
      <c r="F1" t="s">
        <v>1</v>
      </c>
      <c r="I1" t="s">
        <v>23</v>
      </c>
      <c r="J1" t="s">
        <v>26</v>
      </c>
    </row>
    <row r="2" spans="1:11" x14ac:dyDescent="0.3">
      <c r="A2">
        <v>3</v>
      </c>
      <c r="B2">
        <v>672.43</v>
      </c>
      <c r="E2">
        <v>5.0999999999999996</v>
      </c>
      <c r="F2">
        <f t="shared" ref="F2" si="0">LOOKUP(E2,A2:B162)</f>
        <v>607.74</v>
      </c>
      <c r="H2">
        <v>3</v>
      </c>
      <c r="I2">
        <f>28.9992*(H2/10)^4 - 173.9035*(H2/10)^3 + 427.7295*(H2/10)^2 - 588.2962*(H2/10) +814.8801</f>
        <v>672.42639401999998</v>
      </c>
      <c r="J2">
        <f>0.000000000646*I2^4-0.0000015648*I2^3+0.0013882318*I2^2-0.5311145615*I2+74.3371688691+I2</f>
        <v>673.63376722055852</v>
      </c>
      <c r="K2">
        <f>ROUND(J2,2)</f>
        <v>673.63</v>
      </c>
    </row>
    <row r="3" spans="1:11" x14ac:dyDescent="0.3">
      <c r="A3">
        <v>3.5</v>
      </c>
      <c r="B3">
        <v>654.35</v>
      </c>
      <c r="H3">
        <v>3.05</v>
      </c>
      <c r="I3">
        <f t="shared" ref="I3:I66" si="1">28.9992*(H3/10)^4 - 173.9035*(H3/10)^3 + 427.7295*(H3/10)^2 - 588.2962*(H3/10) +814.8801</f>
        <v>670.55614589101697</v>
      </c>
      <c r="J3">
        <f t="shared" ref="J3:J66" si="2">0.000000000646*I3^4-0.0000015648*I3^3+0.0013882318*I3^2-0.5311145615*I3+74.3371688691+I3</f>
        <v>671.76553557528212</v>
      </c>
      <c r="K3">
        <f t="shared" ref="K3:K66" si="3">ROUND(J3,2)</f>
        <v>671.77</v>
      </c>
    </row>
    <row r="4" spans="1:11" x14ac:dyDescent="0.3">
      <c r="A4">
        <v>4</v>
      </c>
      <c r="B4">
        <v>637.61</v>
      </c>
      <c r="H4">
        <v>3.1</v>
      </c>
      <c r="I4">
        <f t="shared" si="1"/>
        <v>668.7001374833319</v>
      </c>
      <c r="J4">
        <f t="shared" si="2"/>
        <v>669.91141213622461</v>
      </c>
      <c r="K4">
        <f t="shared" si="3"/>
        <v>669.91</v>
      </c>
    </row>
    <row r="5" spans="1:11" x14ac:dyDescent="0.3">
      <c r="A5">
        <v>4.5</v>
      </c>
      <c r="B5">
        <v>622.1</v>
      </c>
      <c r="H5">
        <v>3.15</v>
      </c>
      <c r="I5">
        <f t="shared" si="1"/>
        <v>666.85826512108201</v>
      </c>
      <c r="J5">
        <f t="shared" si="2"/>
        <v>668.07128970866449</v>
      </c>
      <c r="K5">
        <f t="shared" si="3"/>
        <v>668.07</v>
      </c>
    </row>
    <row r="6" spans="1:11" x14ac:dyDescent="0.3">
      <c r="A6">
        <v>5</v>
      </c>
      <c r="B6">
        <v>607.74</v>
      </c>
      <c r="H6">
        <v>3.2</v>
      </c>
      <c r="I6">
        <f t="shared" si="1"/>
        <v>665.03042556339199</v>
      </c>
      <c r="J6">
        <f t="shared" si="2"/>
        <v>666.24506194918047</v>
      </c>
      <c r="K6">
        <f t="shared" si="3"/>
        <v>666.25</v>
      </c>
    </row>
    <row r="7" spans="1:11" x14ac:dyDescent="0.3">
      <c r="A7">
        <v>5.5</v>
      </c>
      <c r="B7">
        <v>594.42999999999995</v>
      </c>
      <c r="H7">
        <v>3.25</v>
      </c>
      <c r="I7">
        <f t="shared" si="1"/>
        <v>663.21651600437497</v>
      </c>
      <c r="J7">
        <f t="shared" si="2"/>
        <v>664.432623344013</v>
      </c>
      <c r="K7">
        <f t="shared" si="3"/>
        <v>664.43</v>
      </c>
    </row>
    <row r="8" spans="1:11" x14ac:dyDescent="0.3">
      <c r="A8">
        <v>6</v>
      </c>
      <c r="B8">
        <v>582.08000000000004</v>
      </c>
      <c r="H8">
        <v>3.3</v>
      </c>
      <c r="I8">
        <f t="shared" si="1"/>
        <v>661.416434073132</v>
      </c>
      <c r="J8">
        <f t="shared" si="2"/>
        <v>662.63386918828769</v>
      </c>
      <c r="K8">
        <f t="shared" si="3"/>
        <v>662.63</v>
      </c>
    </row>
    <row r="9" spans="1:11" x14ac:dyDescent="0.3">
      <c r="A9">
        <v>6.5</v>
      </c>
      <c r="B9">
        <v>570.62</v>
      </c>
      <c r="H9">
        <v>3.35</v>
      </c>
      <c r="I9">
        <f t="shared" si="1"/>
        <v>659.63007783375201</v>
      </c>
      <c r="J9">
        <f t="shared" si="2"/>
        <v>660.84869556607362</v>
      </c>
      <c r="K9">
        <f t="shared" si="3"/>
        <v>660.85</v>
      </c>
    </row>
    <row r="10" spans="1:11" x14ac:dyDescent="0.3">
      <c r="A10">
        <v>7</v>
      </c>
      <c r="B10">
        <v>559.97</v>
      </c>
      <c r="H10">
        <v>3.4</v>
      </c>
      <c r="I10">
        <f t="shared" si="1"/>
        <v>657.85734578531196</v>
      </c>
      <c r="J10">
        <f t="shared" si="2"/>
        <v>659.07699933124923</v>
      </c>
      <c r="K10">
        <f t="shared" si="3"/>
        <v>659.08</v>
      </c>
    </row>
    <row r="11" spans="1:11" x14ac:dyDescent="0.3">
      <c r="A11">
        <v>7.5</v>
      </c>
      <c r="B11">
        <v>550.07000000000005</v>
      </c>
      <c r="H11">
        <v>3.45</v>
      </c>
      <c r="I11">
        <f t="shared" si="1"/>
        <v>656.09813686187692</v>
      </c>
      <c r="J11">
        <f t="shared" si="2"/>
        <v>657.31867808914478</v>
      </c>
      <c r="K11">
        <f t="shared" si="3"/>
        <v>657.32</v>
      </c>
    </row>
    <row r="12" spans="1:11" x14ac:dyDescent="0.3">
      <c r="A12">
        <v>8</v>
      </c>
      <c r="B12">
        <v>540.83000000000004</v>
      </c>
      <c r="H12">
        <v>3.5</v>
      </c>
      <c r="I12">
        <f t="shared" si="1"/>
        <v>654.35235043249997</v>
      </c>
      <c r="J12">
        <f t="shared" si="2"/>
        <v>655.57363017893806</v>
      </c>
      <c r="K12">
        <f t="shared" si="3"/>
        <v>655.57</v>
      </c>
    </row>
    <row r="13" spans="1:11" x14ac:dyDescent="0.3">
      <c r="A13">
        <v>8.5</v>
      </c>
      <c r="B13">
        <v>532.20000000000005</v>
      </c>
      <c r="H13">
        <v>3.55</v>
      </c>
      <c r="I13">
        <f t="shared" si="1"/>
        <v>652.61988630122198</v>
      </c>
      <c r="J13">
        <f t="shared" si="2"/>
        <v>653.84175465677424</v>
      </c>
      <c r="K13">
        <f t="shared" si="3"/>
        <v>653.84</v>
      </c>
    </row>
    <row r="14" spans="1:11" x14ac:dyDescent="0.3">
      <c r="A14">
        <v>9</v>
      </c>
      <c r="B14">
        <v>524.13</v>
      </c>
      <c r="H14">
        <v>3.6</v>
      </c>
      <c r="I14">
        <f t="shared" si="1"/>
        <v>650.90064470707193</v>
      </c>
      <c r="J14">
        <f t="shared" si="2"/>
        <v>652.12295127958623</v>
      </c>
      <c r="K14">
        <f t="shared" si="3"/>
        <v>652.12</v>
      </c>
    </row>
    <row r="15" spans="1:11" x14ac:dyDescent="0.3">
      <c r="A15">
        <v>9.5</v>
      </c>
      <c r="B15">
        <v>516.54</v>
      </c>
      <c r="H15">
        <v>3.65</v>
      </c>
      <c r="I15">
        <f t="shared" si="1"/>
        <v>649.19452632406694</v>
      </c>
      <c r="J15">
        <f t="shared" si="2"/>
        <v>650.41712048959107</v>
      </c>
      <c r="K15">
        <f t="shared" si="3"/>
        <v>650.41999999999996</v>
      </c>
    </row>
    <row r="16" spans="1:11" x14ac:dyDescent="0.3">
      <c r="A16">
        <v>10</v>
      </c>
      <c r="B16">
        <v>509.41</v>
      </c>
      <c r="H16">
        <v>3.7</v>
      </c>
      <c r="I16">
        <f t="shared" si="1"/>
        <v>647.5014322612119</v>
      </c>
      <c r="J16">
        <f t="shared" si="2"/>
        <v>648.72416339943845</v>
      </c>
      <c r="K16">
        <f t="shared" si="3"/>
        <v>648.72</v>
      </c>
    </row>
    <row r="17" spans="1:11" x14ac:dyDescent="0.3">
      <c r="A17">
        <v>10.5</v>
      </c>
      <c r="B17">
        <v>502.67</v>
      </c>
      <c r="H17">
        <v>3.75</v>
      </c>
      <c r="I17">
        <f t="shared" si="1"/>
        <v>645.82126406249995</v>
      </c>
      <c r="J17">
        <f t="shared" si="2"/>
        <v>647.04398177798623</v>
      </c>
      <c r="K17">
        <f t="shared" si="3"/>
        <v>647.04</v>
      </c>
    </row>
    <row r="18" spans="1:11" x14ac:dyDescent="0.3">
      <c r="A18">
        <v>11</v>
      </c>
      <c r="B18">
        <v>496.3</v>
      </c>
      <c r="H18">
        <v>3.8</v>
      </c>
      <c r="I18">
        <f t="shared" si="1"/>
        <v>644.15392370691188</v>
      </c>
      <c r="J18">
        <f t="shared" si="2"/>
        <v>645.37647803668597</v>
      </c>
      <c r="K18">
        <f t="shared" si="3"/>
        <v>645.38</v>
      </c>
    </row>
    <row r="19" spans="1:11" x14ac:dyDescent="0.3">
      <c r="A19">
        <v>11.5</v>
      </c>
      <c r="B19">
        <v>490.25</v>
      </c>
      <c r="H19">
        <v>3.85</v>
      </c>
      <c r="I19">
        <f t="shared" si="1"/>
        <v>642.49931360841697</v>
      </c>
      <c r="J19">
        <f t="shared" si="2"/>
        <v>643.7215552165502</v>
      </c>
      <c r="K19">
        <f t="shared" si="3"/>
        <v>643.72</v>
      </c>
    </row>
    <row r="20" spans="1:11" x14ac:dyDescent="0.3">
      <c r="A20">
        <v>12</v>
      </c>
      <c r="B20">
        <v>484.48</v>
      </c>
      <c r="H20">
        <v>3.9</v>
      </c>
      <c r="I20">
        <f t="shared" si="1"/>
        <v>640.85733661597192</v>
      </c>
      <c r="J20">
        <f t="shared" si="2"/>
        <v>642.07911697568591</v>
      </c>
      <c r="K20">
        <f t="shared" si="3"/>
        <v>642.08000000000004</v>
      </c>
    </row>
    <row r="21" spans="1:11" x14ac:dyDescent="0.3">
      <c r="A21">
        <v>12.5</v>
      </c>
      <c r="B21">
        <v>478.98</v>
      </c>
      <c r="H21">
        <v>3.95</v>
      </c>
      <c r="I21">
        <f t="shared" si="1"/>
        <v>639.22789601352201</v>
      </c>
      <c r="J21">
        <f t="shared" si="2"/>
        <v>640.44906757737135</v>
      </c>
      <c r="K21">
        <f t="shared" si="3"/>
        <v>640.45000000000005</v>
      </c>
    </row>
    <row r="22" spans="1:11" x14ac:dyDescent="0.3">
      <c r="A22">
        <v>13</v>
      </c>
      <c r="B22">
        <v>473.72</v>
      </c>
      <c r="H22">
        <v>4</v>
      </c>
      <c r="I22">
        <f t="shared" si="1"/>
        <v>637.61089551999999</v>
      </c>
      <c r="J22">
        <f t="shared" si="2"/>
        <v>638.83131187865581</v>
      </c>
      <c r="K22">
        <f t="shared" si="3"/>
        <v>638.83000000000004</v>
      </c>
    </row>
    <row r="23" spans="1:11" x14ac:dyDescent="0.3">
      <c r="A23">
        <v>13.5</v>
      </c>
      <c r="B23">
        <v>468.67</v>
      </c>
      <c r="H23">
        <v>4.05</v>
      </c>
      <c r="I23">
        <f t="shared" si="1"/>
        <v>636.00623928932691</v>
      </c>
      <c r="J23">
        <f t="shared" si="2"/>
        <v>637.22575531946677</v>
      </c>
      <c r="K23">
        <f t="shared" si="3"/>
        <v>637.23</v>
      </c>
    </row>
    <row r="24" spans="1:11" x14ac:dyDescent="0.3">
      <c r="A24">
        <v>14</v>
      </c>
      <c r="B24">
        <v>463.83</v>
      </c>
      <c r="H24">
        <v>4.0999999999999996</v>
      </c>
      <c r="I24">
        <f t="shared" si="1"/>
        <v>634.413831910412</v>
      </c>
      <c r="J24">
        <f t="shared" si="2"/>
        <v>635.63230391220327</v>
      </c>
      <c r="K24">
        <f t="shared" si="3"/>
        <v>635.63</v>
      </c>
    </row>
    <row r="25" spans="1:11" x14ac:dyDescent="0.3">
      <c r="A25">
        <v>14.5</v>
      </c>
      <c r="B25">
        <v>459.18</v>
      </c>
      <c r="H25">
        <v>4.1500000000000004</v>
      </c>
      <c r="I25">
        <f t="shared" si="1"/>
        <v>632.83357840715189</v>
      </c>
      <c r="J25">
        <f t="shared" si="2"/>
        <v>634.05086423179546</v>
      </c>
      <c r="K25">
        <f t="shared" si="3"/>
        <v>634.04999999999995</v>
      </c>
    </row>
    <row r="26" spans="1:11" x14ac:dyDescent="0.3">
      <c r="A26">
        <v>15</v>
      </c>
      <c r="B26">
        <v>454.71</v>
      </c>
      <c r="H26">
        <v>4.2</v>
      </c>
      <c r="I26">
        <f t="shared" si="1"/>
        <v>631.26538423843192</v>
      </c>
      <c r="J26">
        <f t="shared" si="2"/>
        <v>632.48134340622119</v>
      </c>
      <c r="K26">
        <f t="shared" si="3"/>
        <v>632.48</v>
      </c>
    </row>
    <row r="27" spans="1:11" x14ac:dyDescent="0.3">
      <c r="A27">
        <v>15.5</v>
      </c>
      <c r="B27">
        <v>450.43</v>
      </c>
      <c r="H27">
        <v>4.25</v>
      </c>
      <c r="I27">
        <f t="shared" si="1"/>
        <v>629.70915529812498</v>
      </c>
      <c r="J27">
        <f t="shared" si="2"/>
        <v>630.92364910745209</v>
      </c>
      <c r="K27">
        <f t="shared" si="3"/>
        <v>630.91999999999996</v>
      </c>
    </row>
    <row r="28" spans="1:11" x14ac:dyDescent="0.3">
      <c r="A28">
        <v>16</v>
      </c>
      <c r="B28">
        <v>446.33</v>
      </c>
      <c r="H28">
        <v>4.3</v>
      </c>
      <c r="I28">
        <f t="shared" si="1"/>
        <v>628.16479791509198</v>
      </c>
      <c r="J28">
        <f t="shared" si="2"/>
        <v>629.37768954282251</v>
      </c>
      <c r="K28">
        <f t="shared" si="3"/>
        <v>629.38</v>
      </c>
    </row>
    <row r="29" spans="1:11" x14ac:dyDescent="0.3">
      <c r="A29">
        <v>16.5</v>
      </c>
      <c r="B29">
        <v>442.43</v>
      </c>
      <c r="H29">
        <v>4.3499999999999996</v>
      </c>
      <c r="I29">
        <f t="shared" si="1"/>
        <v>626.63221885318194</v>
      </c>
      <c r="J29">
        <f t="shared" si="2"/>
        <v>627.8433734468</v>
      </c>
      <c r="K29">
        <f t="shared" si="3"/>
        <v>627.84</v>
      </c>
    </row>
    <row r="30" spans="1:11" x14ac:dyDescent="0.3">
      <c r="A30">
        <v>17</v>
      </c>
      <c r="B30">
        <v>438.73</v>
      </c>
      <c r="H30">
        <v>4.4000000000000004</v>
      </c>
      <c r="I30">
        <f t="shared" si="1"/>
        <v>625.11132531123189</v>
      </c>
      <c r="J30">
        <f t="shared" si="2"/>
        <v>626.32061007314371</v>
      </c>
      <c r="K30">
        <f t="shared" si="3"/>
        <v>626.32000000000005</v>
      </c>
    </row>
    <row r="31" spans="1:11" x14ac:dyDescent="0.3">
      <c r="A31">
        <v>17.5</v>
      </c>
      <c r="B31">
        <v>435.25</v>
      </c>
      <c r="H31">
        <v>4.4499999999999904</v>
      </c>
      <c r="I31">
        <f t="shared" si="1"/>
        <v>623.60202492306723</v>
      </c>
      <c r="J31">
        <f t="shared" si="2"/>
        <v>624.80930918743741</v>
      </c>
      <c r="K31">
        <f t="shared" si="3"/>
        <v>624.80999999999995</v>
      </c>
    </row>
    <row r="32" spans="1:11" x14ac:dyDescent="0.3">
      <c r="A32">
        <v>18</v>
      </c>
      <c r="B32">
        <v>432.01</v>
      </c>
      <c r="H32">
        <v>4.4999999999999902</v>
      </c>
      <c r="I32">
        <f t="shared" si="1"/>
        <v>622.10422575750022</v>
      </c>
      <c r="J32">
        <f t="shared" si="2"/>
        <v>623.3093810599795</v>
      </c>
      <c r="K32">
        <f t="shared" si="3"/>
        <v>623.30999999999995</v>
      </c>
    </row>
    <row r="33" spans="1:11" x14ac:dyDescent="0.3">
      <c r="A33">
        <v>18.5</v>
      </c>
      <c r="B33">
        <v>429.03</v>
      </c>
      <c r="H33">
        <v>4.5499999999999901</v>
      </c>
      <c r="I33">
        <f t="shared" si="1"/>
        <v>620.61783631833225</v>
      </c>
      <c r="J33">
        <f t="shared" si="2"/>
        <v>621.82073645902244</v>
      </c>
      <c r="K33">
        <f t="shared" si="3"/>
        <v>621.82000000000005</v>
      </c>
    </row>
    <row r="34" spans="1:11" x14ac:dyDescent="0.3">
      <c r="A34">
        <v>19</v>
      </c>
      <c r="B34">
        <v>426.34</v>
      </c>
      <c r="H34">
        <v>4.5999999999999899</v>
      </c>
      <c r="I34">
        <f t="shared" si="1"/>
        <v>619.14276554435219</v>
      </c>
      <c r="J34">
        <f t="shared" si="2"/>
        <v>620.3432866443402</v>
      </c>
      <c r="K34">
        <f t="shared" si="3"/>
        <v>620.34</v>
      </c>
    </row>
    <row r="35" spans="1:11" x14ac:dyDescent="0.3">
      <c r="H35">
        <v>4.6499999999999897</v>
      </c>
      <c r="I35">
        <f t="shared" si="1"/>
        <v>617.67892280933722</v>
      </c>
      <c r="J35">
        <f t="shared" si="2"/>
        <v>618.87694336111849</v>
      </c>
      <c r="K35">
        <f t="shared" si="3"/>
        <v>618.88</v>
      </c>
    </row>
    <row r="36" spans="1:11" x14ac:dyDescent="0.3">
      <c r="H36">
        <v>4.6999999999999904</v>
      </c>
      <c r="I36">
        <f t="shared" si="1"/>
        <v>616.22621792205223</v>
      </c>
      <c r="J36">
        <f t="shared" si="2"/>
        <v>617.42161883415065</v>
      </c>
      <c r="K36">
        <f t="shared" si="3"/>
        <v>617.41999999999996</v>
      </c>
    </row>
    <row r="37" spans="1:11" x14ac:dyDescent="0.3">
      <c r="H37">
        <v>4.7499999999999902</v>
      </c>
      <c r="I37">
        <f t="shared" si="1"/>
        <v>614.7845611262502</v>
      </c>
      <c r="J37">
        <f t="shared" si="2"/>
        <v>615.97722576232809</v>
      </c>
      <c r="K37">
        <f t="shared" si="3"/>
        <v>615.98</v>
      </c>
    </row>
    <row r="38" spans="1:11" x14ac:dyDescent="0.3">
      <c r="H38">
        <v>4.7999999999999901</v>
      </c>
      <c r="I38">
        <f t="shared" si="1"/>
        <v>613.35386310067224</v>
      </c>
      <c r="J38">
        <f t="shared" si="2"/>
        <v>614.54367731341688</v>
      </c>
      <c r="K38">
        <f t="shared" si="3"/>
        <v>614.54</v>
      </c>
    </row>
    <row r="39" spans="1:11" x14ac:dyDescent="0.3">
      <c r="H39">
        <v>4.8499999999999899</v>
      </c>
      <c r="I39">
        <f t="shared" si="1"/>
        <v>611.93403495904727</v>
      </c>
      <c r="J39">
        <f t="shared" si="2"/>
        <v>613.12088711910326</v>
      </c>
      <c r="K39">
        <f t="shared" si="3"/>
        <v>613.12</v>
      </c>
    </row>
    <row r="40" spans="1:11" x14ac:dyDescent="0.3">
      <c r="H40">
        <v>4.8999999999999897</v>
      </c>
      <c r="I40">
        <f t="shared" si="1"/>
        <v>610.52498825009229</v>
      </c>
      <c r="J40">
        <f t="shared" si="2"/>
        <v>611.70876927030417</v>
      </c>
      <c r="K40">
        <f t="shared" si="3"/>
        <v>611.71</v>
      </c>
    </row>
    <row r="41" spans="1:11" x14ac:dyDescent="0.3">
      <c r="H41">
        <v>4.9499999999999904</v>
      </c>
      <c r="I41">
        <f t="shared" si="1"/>
        <v>609.12663495751224</v>
      </c>
      <c r="J41">
        <f t="shared" si="2"/>
        <v>610.30723831272599</v>
      </c>
      <c r="K41">
        <f t="shared" si="3"/>
        <v>610.30999999999995</v>
      </c>
    </row>
    <row r="42" spans="1:11" x14ac:dyDescent="0.3">
      <c r="H42">
        <v>4.9999999999999902</v>
      </c>
      <c r="I42">
        <f t="shared" si="1"/>
        <v>607.73888750000015</v>
      </c>
      <c r="J42">
        <f t="shared" si="2"/>
        <v>608.91620924266647</v>
      </c>
      <c r="K42">
        <f t="shared" si="3"/>
        <v>608.91999999999996</v>
      </c>
    </row>
    <row r="43" spans="1:11" x14ac:dyDescent="0.3">
      <c r="H43">
        <v>5.0499999999999901</v>
      </c>
      <c r="I43">
        <f t="shared" si="1"/>
        <v>606.36165873123718</v>
      </c>
      <c r="J43">
        <f t="shared" si="2"/>
        <v>607.53559750304726</v>
      </c>
      <c r="K43">
        <f t="shared" si="3"/>
        <v>607.54</v>
      </c>
    </row>
    <row r="44" spans="1:11" x14ac:dyDescent="0.3">
      <c r="H44">
        <v>5.0999999999999899</v>
      </c>
      <c r="I44">
        <f t="shared" si="1"/>
        <v>604.99486193989219</v>
      </c>
      <c r="J44">
        <f t="shared" si="2"/>
        <v>606.16531897966763</v>
      </c>
      <c r="K44">
        <f t="shared" si="3"/>
        <v>606.16999999999996</v>
      </c>
    </row>
    <row r="45" spans="1:11" x14ac:dyDescent="0.3">
      <c r="H45">
        <v>5.1499999999999897</v>
      </c>
      <c r="I45">
        <f t="shared" si="1"/>
        <v>603.63841084962223</v>
      </c>
      <c r="J45">
        <f t="shared" si="2"/>
        <v>604.80528999767228</v>
      </c>
      <c r="K45">
        <f t="shared" si="3"/>
        <v>604.80999999999995</v>
      </c>
    </row>
    <row r="46" spans="1:11" x14ac:dyDescent="0.3">
      <c r="H46">
        <v>5.1999999999999904</v>
      </c>
      <c r="I46">
        <f t="shared" si="1"/>
        <v>602.29221961907228</v>
      </c>
      <c r="J46">
        <f t="shared" si="2"/>
        <v>603.45542731822218</v>
      </c>
      <c r="K46">
        <f t="shared" si="3"/>
        <v>603.46</v>
      </c>
    </row>
    <row r="47" spans="1:11" x14ac:dyDescent="0.3">
      <c r="H47">
        <v>5.2499999999999902</v>
      </c>
      <c r="I47">
        <f t="shared" si="1"/>
        <v>600.95620284187521</v>
      </c>
      <c r="J47">
        <f t="shared" si="2"/>
        <v>602.11564813536154</v>
      </c>
      <c r="K47">
        <f t="shared" si="3"/>
        <v>602.12</v>
      </c>
    </row>
    <row r="48" spans="1:11" x14ac:dyDescent="0.3">
      <c r="H48">
        <v>5.2999999999999901</v>
      </c>
      <c r="I48">
        <f t="shared" si="1"/>
        <v>599.63027554665223</v>
      </c>
      <c r="J48">
        <f t="shared" si="2"/>
        <v>600.78587007307237</v>
      </c>
      <c r="K48">
        <f t="shared" si="3"/>
        <v>600.79</v>
      </c>
    </row>
    <row r="49" spans="8:11" x14ac:dyDescent="0.3">
      <c r="H49">
        <v>5.3499999999999899</v>
      </c>
      <c r="I49">
        <f t="shared" si="1"/>
        <v>598.31435319701222</v>
      </c>
      <c r="J49">
        <f t="shared" si="2"/>
        <v>599.46601118250783</v>
      </c>
      <c r="K49">
        <f t="shared" si="3"/>
        <v>599.47</v>
      </c>
    </row>
    <row r="50" spans="8:11" x14ac:dyDescent="0.3">
      <c r="H50">
        <v>5.3999999999999897</v>
      </c>
      <c r="I50">
        <f t="shared" si="1"/>
        <v>597.00835169155221</v>
      </c>
      <c r="J50">
        <f t="shared" si="2"/>
        <v>598.15598993939784</v>
      </c>
      <c r="K50">
        <f t="shared" si="3"/>
        <v>598.16</v>
      </c>
    </row>
    <row r="51" spans="8:11" x14ac:dyDescent="0.3">
      <c r="H51">
        <v>5.4499999999999904</v>
      </c>
      <c r="I51">
        <f t="shared" si="1"/>
        <v>595.7121873638572</v>
      </c>
      <c r="J51">
        <f t="shared" si="2"/>
        <v>596.85572524161978</v>
      </c>
      <c r="K51">
        <f t="shared" si="3"/>
        <v>596.86</v>
      </c>
    </row>
    <row r="52" spans="8:11" x14ac:dyDescent="0.3">
      <c r="H52">
        <v>5.4999999999999902</v>
      </c>
      <c r="I52">
        <f t="shared" si="1"/>
        <v>594.42577698250022</v>
      </c>
      <c r="J52">
        <f t="shared" si="2"/>
        <v>595.56513640692583</v>
      </c>
      <c r="K52">
        <f t="shared" si="3"/>
        <v>595.57000000000005</v>
      </c>
    </row>
    <row r="53" spans="8:11" x14ac:dyDescent="0.3">
      <c r="H53">
        <v>5.5499999999999901</v>
      </c>
      <c r="I53">
        <f t="shared" si="1"/>
        <v>593.14903775104221</v>
      </c>
      <c r="J53">
        <f t="shared" si="2"/>
        <v>594.28414317082172</v>
      </c>
      <c r="K53">
        <f t="shared" si="3"/>
        <v>594.28</v>
      </c>
    </row>
    <row r="54" spans="8:11" x14ac:dyDescent="0.3">
      <c r="H54">
        <v>5.5999999999999899</v>
      </c>
      <c r="I54">
        <f t="shared" si="1"/>
        <v>591.88188730803222</v>
      </c>
      <c r="J54">
        <f t="shared" si="2"/>
        <v>593.01266568458868</v>
      </c>
      <c r="K54">
        <f t="shared" si="3"/>
        <v>593.01</v>
      </c>
    </row>
    <row r="55" spans="8:11" x14ac:dyDescent="0.3">
      <c r="H55">
        <v>5.6499999999999897</v>
      </c>
      <c r="I55">
        <f t="shared" si="1"/>
        <v>590.62424372700718</v>
      </c>
      <c r="J55">
        <f t="shared" si="2"/>
        <v>591.75062451344445</v>
      </c>
      <c r="K55">
        <f t="shared" si="3"/>
        <v>591.75</v>
      </c>
    </row>
    <row r="56" spans="8:11" x14ac:dyDescent="0.3">
      <c r="H56">
        <v>5.6999999999999904</v>
      </c>
      <c r="I56">
        <f t="shared" si="1"/>
        <v>589.37602551649218</v>
      </c>
      <c r="J56">
        <f t="shared" si="2"/>
        <v>590.49794063483432</v>
      </c>
      <c r="K56">
        <f t="shared" si="3"/>
        <v>590.5</v>
      </c>
    </row>
    <row r="57" spans="8:11" x14ac:dyDescent="0.3">
      <c r="H57">
        <v>5.7499999999999902</v>
      </c>
      <c r="I57">
        <f t="shared" si="1"/>
        <v>588.13715162000017</v>
      </c>
      <c r="J57">
        <f t="shared" si="2"/>
        <v>589.25453543684921</v>
      </c>
      <c r="K57">
        <f t="shared" si="3"/>
        <v>589.25</v>
      </c>
    </row>
    <row r="58" spans="8:11" x14ac:dyDescent="0.3">
      <c r="H58">
        <v>5.7999999999999901</v>
      </c>
      <c r="I58">
        <f t="shared" si="1"/>
        <v>586.90754141603225</v>
      </c>
      <c r="J58">
        <f t="shared" si="2"/>
        <v>588.02033071676317</v>
      </c>
      <c r="K58">
        <f t="shared" si="3"/>
        <v>588.02</v>
      </c>
    </row>
    <row r="59" spans="8:11" x14ac:dyDescent="0.3">
      <c r="H59">
        <v>5.8499999999999899</v>
      </c>
      <c r="I59">
        <f t="shared" si="1"/>
        <v>585.68711471807728</v>
      </c>
      <c r="J59">
        <f t="shared" si="2"/>
        <v>586.79524867968553</v>
      </c>
      <c r="K59">
        <f t="shared" si="3"/>
        <v>586.79999999999995</v>
      </c>
    </row>
    <row r="60" spans="8:11" x14ac:dyDescent="0.3">
      <c r="H60">
        <v>5.8999999999999897</v>
      </c>
      <c r="I60">
        <f t="shared" si="1"/>
        <v>584.47579177461216</v>
      </c>
      <c r="J60">
        <f t="shared" si="2"/>
        <v>585.57921193732182</v>
      </c>
      <c r="K60">
        <f t="shared" si="3"/>
        <v>585.58000000000004</v>
      </c>
    </row>
    <row r="61" spans="8:11" x14ac:dyDescent="0.3">
      <c r="H61">
        <v>5.9499999999999904</v>
      </c>
      <c r="I61">
        <f t="shared" si="1"/>
        <v>583.27349326910212</v>
      </c>
      <c r="J61">
        <f t="shared" si="2"/>
        <v>584.37214350684087</v>
      </c>
      <c r="K61">
        <f t="shared" si="3"/>
        <v>584.37</v>
      </c>
    </row>
    <row r="62" spans="8:11" x14ac:dyDescent="0.3">
      <c r="H62">
        <v>5.9999999999999902</v>
      </c>
      <c r="I62">
        <f t="shared" si="1"/>
        <v>582.08014032000017</v>
      </c>
      <c r="J62">
        <f t="shared" si="2"/>
        <v>583.17396680983859</v>
      </c>
      <c r="K62">
        <f t="shared" si="3"/>
        <v>583.16999999999996</v>
      </c>
    </row>
    <row r="63" spans="8:11" x14ac:dyDescent="0.3">
      <c r="H63">
        <v>6.0499999999999901</v>
      </c>
      <c r="I63">
        <f t="shared" si="1"/>
        <v>580.89565448074723</v>
      </c>
      <c r="J63">
        <f t="shared" si="2"/>
        <v>581.98460567139819</v>
      </c>
      <c r="K63">
        <f t="shared" si="3"/>
        <v>581.98</v>
      </c>
    </row>
    <row r="64" spans="8:11" x14ac:dyDescent="0.3">
      <c r="H64">
        <v>6.0999999999999899</v>
      </c>
      <c r="I64">
        <f t="shared" si="1"/>
        <v>579.7199577397721</v>
      </c>
      <c r="J64">
        <f t="shared" si="2"/>
        <v>580.80398431923936</v>
      </c>
      <c r="K64">
        <f t="shared" si="3"/>
        <v>580.79999999999995</v>
      </c>
    </row>
    <row r="65" spans="8:11" x14ac:dyDescent="0.3">
      <c r="H65">
        <v>6.1499999999999897</v>
      </c>
      <c r="I65">
        <f t="shared" si="1"/>
        <v>578.55297252049218</v>
      </c>
      <c r="J65">
        <f t="shared" si="2"/>
        <v>579.63202738295524</v>
      </c>
      <c r="K65">
        <f t="shared" si="3"/>
        <v>579.63</v>
      </c>
    </row>
    <row r="66" spans="8:11" x14ac:dyDescent="0.3">
      <c r="H66">
        <v>6.1999999999999904</v>
      </c>
      <c r="I66">
        <f t="shared" si="1"/>
        <v>577.39462168131217</v>
      </c>
      <c r="J66">
        <f t="shared" si="2"/>
        <v>578.46865989332832</v>
      </c>
      <c r="K66">
        <f t="shared" si="3"/>
        <v>578.47</v>
      </c>
    </row>
    <row r="67" spans="8:11" x14ac:dyDescent="0.3">
      <c r="H67">
        <v>6.2499999999999902</v>
      </c>
      <c r="I67">
        <f t="shared" ref="I67:I130" si="4">28.9992*(H67/10)^4 - 173.9035*(H67/10)^3 + 427.7295*(H67/10)^2 - 588.2962*(H67/10) +814.8801</f>
        <v>576.24482851562516</v>
      </c>
      <c r="J67">
        <f t="shared" ref="J67:J130" si="5">0.000000000646*I67^4-0.0000015648*I67^3+0.0013882318*I67^2-0.5311145615*I67+74.3371688691+I67</f>
        <v>577.31380728172519</v>
      </c>
      <c r="K67">
        <f t="shared" ref="K67:K130" si="6">ROUND(J67,2)</f>
        <v>577.30999999999995</v>
      </c>
    </row>
    <row r="68" spans="8:11" x14ac:dyDescent="0.3">
      <c r="H68">
        <v>6.2999999999999901</v>
      </c>
      <c r="I68">
        <f t="shared" si="4"/>
        <v>575.10351675181221</v>
      </c>
      <c r="J68">
        <f t="shared" si="5"/>
        <v>576.1673953795663</v>
      </c>
      <c r="K68">
        <f t="shared" si="6"/>
        <v>576.16999999999996</v>
      </c>
    </row>
    <row r="69" spans="8:11" x14ac:dyDescent="0.3">
      <c r="H69">
        <v>6.3499999999999899</v>
      </c>
      <c r="I69">
        <f t="shared" si="4"/>
        <v>573.97061055324218</v>
      </c>
      <c r="J69">
        <f t="shared" si="5"/>
        <v>575.02935041786191</v>
      </c>
      <c r="K69">
        <f t="shared" si="6"/>
        <v>575.03</v>
      </c>
    </row>
    <row r="70" spans="8:11" x14ac:dyDescent="0.3">
      <c r="H70">
        <v>6.3999999999999897</v>
      </c>
      <c r="I70">
        <f t="shared" si="4"/>
        <v>572.84603451827218</v>
      </c>
      <c r="J70">
        <f t="shared" si="5"/>
        <v>573.89959902681949</v>
      </c>
      <c r="K70">
        <f t="shared" si="6"/>
        <v>573.9</v>
      </c>
    </row>
    <row r="71" spans="8:11" x14ac:dyDescent="0.3">
      <c r="H71">
        <v>6.4499999999999904</v>
      </c>
      <c r="I71">
        <f t="shared" si="4"/>
        <v>571.72971368024719</v>
      </c>
      <c r="J71">
        <f t="shared" si="5"/>
        <v>572.77806823550895</v>
      </c>
      <c r="K71">
        <f t="shared" si="6"/>
        <v>572.78</v>
      </c>
    </row>
    <row r="72" spans="8:11" x14ac:dyDescent="0.3">
      <c r="H72">
        <v>6.4999999999999902</v>
      </c>
      <c r="I72">
        <f t="shared" si="4"/>
        <v>570.62157350750022</v>
      </c>
      <c r="J72">
        <f t="shared" si="5"/>
        <v>571.66468547159184</v>
      </c>
      <c r="K72">
        <f t="shared" si="6"/>
        <v>571.66</v>
      </c>
    </row>
    <row r="73" spans="8:11" x14ac:dyDescent="0.3">
      <c r="H73">
        <v>6.5499999999999901</v>
      </c>
      <c r="I73">
        <f t="shared" si="4"/>
        <v>569.52153990335216</v>
      </c>
      <c r="J73">
        <f t="shared" si="5"/>
        <v>570.55937856110381</v>
      </c>
      <c r="K73">
        <f t="shared" si="6"/>
        <v>570.55999999999995</v>
      </c>
    </row>
    <row r="74" spans="8:11" x14ac:dyDescent="0.3">
      <c r="H74">
        <v>6.5999999999999899</v>
      </c>
      <c r="I74">
        <f t="shared" si="4"/>
        <v>568.42953920611217</v>
      </c>
      <c r="J74">
        <f t="shared" si="5"/>
        <v>569.4620757282928</v>
      </c>
      <c r="K74">
        <f t="shared" si="6"/>
        <v>569.46</v>
      </c>
    </row>
    <row r="75" spans="8:11" x14ac:dyDescent="0.3">
      <c r="H75">
        <v>6.6499999999999897</v>
      </c>
      <c r="I75">
        <f t="shared" si="4"/>
        <v>567.34549818907726</v>
      </c>
      <c r="J75">
        <f t="shared" si="5"/>
        <v>568.37270559550552</v>
      </c>
      <c r="K75">
        <f t="shared" si="6"/>
        <v>568.37</v>
      </c>
    </row>
    <row r="76" spans="8:11" x14ac:dyDescent="0.3">
      <c r="H76">
        <v>6.6999999999999904</v>
      </c>
      <c r="I76">
        <f t="shared" si="4"/>
        <v>566.26934406053215</v>
      </c>
      <c r="J76">
        <f t="shared" si="5"/>
        <v>567.29119718312381</v>
      </c>
      <c r="K76">
        <f t="shared" si="6"/>
        <v>567.29</v>
      </c>
    </row>
    <row r="77" spans="8:11" x14ac:dyDescent="0.3">
      <c r="H77">
        <v>6.7499999999999902</v>
      </c>
      <c r="I77">
        <f t="shared" si="4"/>
        <v>565.20100446375022</v>
      </c>
      <c r="J77">
        <f t="shared" si="5"/>
        <v>566.21747990954509</v>
      </c>
      <c r="K77">
        <f t="shared" si="6"/>
        <v>566.22</v>
      </c>
    </row>
    <row r="78" spans="8:11" x14ac:dyDescent="0.3">
      <c r="H78">
        <v>6.7999999999999901</v>
      </c>
      <c r="I78">
        <f t="shared" si="4"/>
        <v>564.1404074769921</v>
      </c>
      <c r="J78">
        <f t="shared" si="5"/>
        <v>565.15148359120383</v>
      </c>
      <c r="K78">
        <f t="shared" si="6"/>
        <v>565.15</v>
      </c>
    </row>
    <row r="79" spans="8:11" x14ac:dyDescent="0.3">
      <c r="H79">
        <v>6.8499999999999899</v>
      </c>
      <c r="I79">
        <f t="shared" si="4"/>
        <v>563.08748161350718</v>
      </c>
      <c r="J79">
        <f t="shared" si="5"/>
        <v>564.09313844263636</v>
      </c>
      <c r="K79">
        <f t="shared" si="6"/>
        <v>564.09</v>
      </c>
    </row>
    <row r="80" spans="8:11" x14ac:dyDescent="0.3">
      <c r="H80">
        <v>6.8999999999999897</v>
      </c>
      <c r="I80">
        <f t="shared" si="4"/>
        <v>562.04215582153211</v>
      </c>
      <c r="J80">
        <f t="shared" si="5"/>
        <v>563.04237507657899</v>
      </c>
      <c r="K80">
        <f t="shared" si="6"/>
        <v>563.04</v>
      </c>
    </row>
    <row r="81" spans="8:11" x14ac:dyDescent="0.3">
      <c r="H81">
        <v>6.9499999999999904</v>
      </c>
      <c r="I81">
        <f t="shared" si="4"/>
        <v>561.00435948429219</v>
      </c>
      <c r="J81">
        <f t="shared" si="5"/>
        <v>561.99912450410579</v>
      </c>
      <c r="K81">
        <f t="shared" si="6"/>
        <v>562</v>
      </c>
    </row>
    <row r="82" spans="8:11" x14ac:dyDescent="0.3">
      <c r="H82">
        <v>6.9999999999999902</v>
      </c>
      <c r="I82">
        <f t="shared" si="4"/>
        <v>559.97402242000021</v>
      </c>
      <c r="J82">
        <f t="shared" si="5"/>
        <v>560.96331813479526</v>
      </c>
      <c r="K82">
        <f t="shared" si="6"/>
        <v>560.96</v>
      </c>
    </row>
    <row r="83" spans="8:11" x14ac:dyDescent="0.3">
      <c r="H83">
        <v>7.0499999999999901</v>
      </c>
      <c r="I83">
        <f t="shared" si="4"/>
        <v>558.95107488185715</v>
      </c>
      <c r="J83">
        <f t="shared" si="5"/>
        <v>559.93488777693165</v>
      </c>
      <c r="K83">
        <f t="shared" si="6"/>
        <v>559.92999999999995</v>
      </c>
    </row>
    <row r="84" spans="8:11" x14ac:dyDescent="0.3">
      <c r="H84">
        <v>7.0999999999999899</v>
      </c>
      <c r="I84">
        <f t="shared" si="4"/>
        <v>557.93544755805215</v>
      </c>
      <c r="J84">
        <f t="shared" si="5"/>
        <v>558.91376563773338</v>
      </c>
      <c r="K84">
        <f t="shared" si="6"/>
        <v>558.91</v>
      </c>
    </row>
    <row r="85" spans="8:11" x14ac:dyDescent="0.3">
      <c r="H85">
        <v>7.1499999999999897</v>
      </c>
      <c r="I85">
        <f t="shared" si="4"/>
        <v>556.9270715717621</v>
      </c>
      <c r="J85">
        <f t="shared" si="5"/>
        <v>557.89988432360849</v>
      </c>
      <c r="K85">
        <f t="shared" si="6"/>
        <v>557.9</v>
      </c>
    </row>
    <row r="86" spans="8:11" x14ac:dyDescent="0.3">
      <c r="H86">
        <v>7.1999999999999904</v>
      </c>
      <c r="I86">
        <f t="shared" si="4"/>
        <v>555.92587848115204</v>
      </c>
      <c r="J86">
        <f t="shared" si="5"/>
        <v>556.89317684043704</v>
      </c>
      <c r="K86">
        <f t="shared" si="6"/>
        <v>556.89</v>
      </c>
    </row>
    <row r="87" spans="8:11" x14ac:dyDescent="0.3">
      <c r="H87">
        <v>7.2499999999999796</v>
      </c>
      <c r="I87">
        <f t="shared" si="4"/>
        <v>554.93180027937535</v>
      </c>
      <c r="J87">
        <f t="shared" si="5"/>
        <v>555.89357659387531</v>
      </c>
      <c r="K87">
        <f t="shared" si="6"/>
        <v>555.89</v>
      </c>
    </row>
    <row r="88" spans="8:11" x14ac:dyDescent="0.3">
      <c r="H88">
        <v>7.2999999999999803</v>
      </c>
      <c r="I88">
        <f t="shared" si="4"/>
        <v>553.9447693945724</v>
      </c>
      <c r="J88">
        <f t="shared" si="5"/>
        <v>554.90101738968156</v>
      </c>
      <c r="K88">
        <f t="shared" si="6"/>
        <v>554.9</v>
      </c>
    </row>
    <row r="89" spans="8:11" x14ac:dyDescent="0.3">
      <c r="H89">
        <v>7.3499999999999801</v>
      </c>
      <c r="I89">
        <f t="shared" si="4"/>
        <v>552.96471868987237</v>
      </c>
      <c r="J89">
        <f t="shared" si="5"/>
        <v>553.91543343406488</v>
      </c>
      <c r="K89">
        <f t="shared" si="6"/>
        <v>553.91999999999996</v>
      </c>
    </row>
    <row r="90" spans="8:11" x14ac:dyDescent="0.3">
      <c r="H90">
        <v>7.3999999999999799</v>
      </c>
      <c r="I90">
        <f t="shared" si="4"/>
        <v>551.99158146339232</v>
      </c>
      <c r="J90">
        <f t="shared" si="5"/>
        <v>552.93675933405029</v>
      </c>
      <c r="K90">
        <f t="shared" si="6"/>
        <v>552.94000000000005</v>
      </c>
    </row>
    <row r="91" spans="8:11" x14ac:dyDescent="0.3">
      <c r="H91">
        <v>7.4499999999999797</v>
      </c>
      <c r="I91">
        <f t="shared" si="4"/>
        <v>551.02529144823734</v>
      </c>
      <c r="J91">
        <f t="shared" si="5"/>
        <v>551.96493009786172</v>
      </c>
      <c r="K91">
        <f t="shared" si="6"/>
        <v>551.96</v>
      </c>
    </row>
    <row r="92" spans="8:11" x14ac:dyDescent="0.3">
      <c r="H92">
        <v>7.4999999999999796</v>
      </c>
      <c r="I92">
        <f t="shared" si="4"/>
        <v>550.0657828125004</v>
      </c>
      <c r="J92">
        <f t="shared" si="5"/>
        <v>550.99988113532106</v>
      </c>
      <c r="K92">
        <f t="shared" si="6"/>
        <v>551</v>
      </c>
    </row>
    <row r="93" spans="8:11" x14ac:dyDescent="0.3">
      <c r="H93">
        <v>7.5499999999999803</v>
      </c>
      <c r="I93">
        <f t="shared" si="4"/>
        <v>549.11299015926238</v>
      </c>
      <c r="J93">
        <f t="shared" si="5"/>
        <v>550.04154825826174</v>
      </c>
      <c r="K93">
        <f t="shared" si="6"/>
        <v>550.04</v>
      </c>
    </row>
    <row r="94" spans="8:11" x14ac:dyDescent="0.3">
      <c r="H94">
        <v>7.5999999999999801</v>
      </c>
      <c r="I94">
        <f t="shared" si="4"/>
        <v>548.16684852659228</v>
      </c>
      <c r="J94">
        <f t="shared" si="5"/>
        <v>549.08986768095644</v>
      </c>
      <c r="K94">
        <f t="shared" si="6"/>
        <v>549.09</v>
      </c>
    </row>
    <row r="95" spans="8:11" x14ac:dyDescent="0.3">
      <c r="H95">
        <v>7.6499999999999799</v>
      </c>
      <c r="I95">
        <f t="shared" si="4"/>
        <v>547.22729338754732</v>
      </c>
      <c r="J95">
        <f t="shared" si="5"/>
        <v>548.14477602055513</v>
      </c>
      <c r="K95">
        <f t="shared" si="6"/>
        <v>548.14</v>
      </c>
    </row>
    <row r="96" spans="8:11" x14ac:dyDescent="0.3">
      <c r="H96">
        <v>7.6999999999999797</v>
      </c>
      <c r="I96">
        <f t="shared" si="4"/>
        <v>546.2942606501723</v>
      </c>
      <c r="J96">
        <f t="shared" si="5"/>
        <v>547.20621029753613</v>
      </c>
      <c r="K96">
        <f t="shared" si="6"/>
        <v>547.21</v>
      </c>
    </row>
    <row r="97" spans="8:11" x14ac:dyDescent="0.3">
      <c r="H97">
        <v>7.7499999999999796</v>
      </c>
      <c r="I97">
        <f t="shared" si="4"/>
        <v>545.36768665750037</v>
      </c>
      <c r="J97">
        <f t="shared" si="5"/>
        <v>546.27410793616559</v>
      </c>
      <c r="K97">
        <f t="shared" si="6"/>
        <v>546.27</v>
      </c>
    </row>
    <row r="98" spans="8:11" x14ac:dyDescent="0.3">
      <c r="H98">
        <v>7.7999999999999803</v>
      </c>
      <c r="I98">
        <f t="shared" si="4"/>
        <v>544.44750818755233</v>
      </c>
      <c r="J98">
        <f t="shared" si="5"/>
        <v>545.34840676496651</v>
      </c>
      <c r="K98">
        <f t="shared" si="6"/>
        <v>545.35</v>
      </c>
    </row>
    <row r="99" spans="8:11" x14ac:dyDescent="0.3">
      <c r="H99">
        <v>7.8499999999999801</v>
      </c>
      <c r="I99">
        <f t="shared" si="4"/>
        <v>543.53366245333734</v>
      </c>
      <c r="J99">
        <f t="shared" si="5"/>
        <v>544.42904501719511</v>
      </c>
      <c r="K99">
        <f t="shared" si="6"/>
        <v>544.42999999999995</v>
      </c>
    </row>
    <row r="100" spans="8:11" x14ac:dyDescent="0.3">
      <c r="H100">
        <v>7.8999999999999799</v>
      </c>
      <c r="I100">
        <f t="shared" si="4"/>
        <v>542.62608710285235</v>
      </c>
      <c r="J100">
        <f t="shared" si="5"/>
        <v>543.51596133132523</v>
      </c>
      <c r="K100">
        <f t="shared" si="6"/>
        <v>543.52</v>
      </c>
    </row>
    <row r="101" spans="8:11" x14ac:dyDescent="0.3">
      <c r="H101">
        <v>7.9499999999999797</v>
      </c>
      <c r="I101">
        <f t="shared" si="4"/>
        <v>541.72472021908231</v>
      </c>
      <c r="J101">
        <f t="shared" si="5"/>
        <v>542.60909475153699</v>
      </c>
      <c r="K101">
        <f t="shared" si="6"/>
        <v>542.61</v>
      </c>
    </row>
    <row r="102" spans="8:11" x14ac:dyDescent="0.3">
      <c r="H102">
        <v>7.9999999999999796</v>
      </c>
      <c r="I102">
        <f t="shared" si="4"/>
        <v>540.82950032000031</v>
      </c>
      <c r="J102">
        <f t="shared" si="5"/>
        <v>541.70838472821265</v>
      </c>
      <c r="K102">
        <f t="shared" si="6"/>
        <v>541.71</v>
      </c>
    </row>
    <row r="103" spans="8:11" x14ac:dyDescent="0.3">
      <c r="H103">
        <v>8.0499999999999794</v>
      </c>
      <c r="I103">
        <f t="shared" si="4"/>
        <v>539.9403663585673</v>
      </c>
      <c r="J103">
        <f t="shared" si="5"/>
        <v>540.81377111843449</v>
      </c>
      <c r="K103">
        <f t="shared" si="6"/>
        <v>540.80999999999995</v>
      </c>
    </row>
    <row r="104" spans="8:11" x14ac:dyDescent="0.3">
      <c r="H104">
        <v>8.0999999999999801</v>
      </c>
      <c r="I104">
        <f t="shared" si="4"/>
        <v>539.05725772273217</v>
      </c>
      <c r="J104">
        <f t="shared" si="5"/>
        <v>539.92519418648908</v>
      </c>
      <c r="K104">
        <f t="shared" si="6"/>
        <v>539.92999999999995</v>
      </c>
    </row>
    <row r="105" spans="8:11" x14ac:dyDescent="0.3">
      <c r="H105">
        <v>8.1499999999999808</v>
      </c>
      <c r="I105">
        <f t="shared" si="4"/>
        <v>538.18011423543226</v>
      </c>
      <c r="J105">
        <f t="shared" si="5"/>
        <v>539.04259460437208</v>
      </c>
      <c r="K105">
        <f t="shared" si="6"/>
        <v>539.04</v>
      </c>
    </row>
    <row r="106" spans="8:11" x14ac:dyDescent="0.3">
      <c r="H106">
        <v>8.1999999999999797</v>
      </c>
      <c r="I106">
        <f t="shared" si="4"/>
        <v>537.30887615459233</v>
      </c>
      <c r="J106">
        <f t="shared" si="5"/>
        <v>538.16591345229563</v>
      </c>
      <c r="K106">
        <f t="shared" si="6"/>
        <v>538.16999999999996</v>
      </c>
    </row>
    <row r="107" spans="8:11" x14ac:dyDescent="0.3">
      <c r="H107">
        <v>8.2499999999999805</v>
      </c>
      <c r="I107">
        <f t="shared" si="4"/>
        <v>536.44348417312528</v>
      </c>
      <c r="J107">
        <f t="shared" si="5"/>
        <v>537.29509221919886</v>
      </c>
      <c r="K107">
        <f t="shared" si="6"/>
        <v>537.29999999999995</v>
      </c>
    </row>
    <row r="108" spans="8:11" x14ac:dyDescent="0.3">
      <c r="H108">
        <v>8.2999999999999794</v>
      </c>
      <c r="I108">
        <f t="shared" si="4"/>
        <v>535.58387941893227</v>
      </c>
      <c r="J108">
        <f t="shared" si="5"/>
        <v>536.43007280325742</v>
      </c>
      <c r="K108">
        <f t="shared" si="6"/>
        <v>536.42999999999995</v>
      </c>
    </row>
    <row r="109" spans="8:11" x14ac:dyDescent="0.3">
      <c r="H109">
        <v>8.3499999999999801</v>
      </c>
      <c r="I109">
        <f t="shared" si="4"/>
        <v>534.73000345490232</v>
      </c>
      <c r="J109">
        <f t="shared" si="5"/>
        <v>535.57079751239462</v>
      </c>
      <c r="K109">
        <f t="shared" si="6"/>
        <v>535.57000000000005</v>
      </c>
    </row>
    <row r="110" spans="8:11" x14ac:dyDescent="0.3">
      <c r="H110">
        <v>8.3999999999999808</v>
      </c>
      <c r="I110">
        <f t="shared" si="4"/>
        <v>533.88179827891224</v>
      </c>
      <c r="J110">
        <f t="shared" si="5"/>
        <v>534.71720906479118</v>
      </c>
      <c r="K110">
        <f t="shared" si="6"/>
        <v>534.72</v>
      </c>
    </row>
    <row r="111" spans="8:11" x14ac:dyDescent="0.3">
      <c r="H111">
        <v>8.4499999999999797</v>
      </c>
      <c r="I111">
        <f t="shared" si="4"/>
        <v>533.03920632382733</v>
      </c>
      <c r="J111">
        <f t="shared" si="5"/>
        <v>533.86925058939642</v>
      </c>
      <c r="K111">
        <f t="shared" si="6"/>
        <v>533.87</v>
      </c>
    </row>
    <row r="112" spans="8:11" x14ac:dyDescent="0.3">
      <c r="H112">
        <v>8.4999999999999805</v>
      </c>
      <c r="I112">
        <f t="shared" si="4"/>
        <v>532.20217045750019</v>
      </c>
      <c r="J112">
        <f t="shared" si="5"/>
        <v>533.02686562643453</v>
      </c>
      <c r="K112">
        <f t="shared" si="6"/>
        <v>533.03</v>
      </c>
    </row>
    <row r="113" spans="8:11" x14ac:dyDescent="0.3">
      <c r="H113">
        <v>8.5499999999999794</v>
      </c>
      <c r="I113">
        <f t="shared" si="4"/>
        <v>531.37063398277235</v>
      </c>
      <c r="J113">
        <f t="shared" si="5"/>
        <v>532.18999812791424</v>
      </c>
      <c r="K113">
        <f t="shared" si="6"/>
        <v>532.19000000000005</v>
      </c>
    </row>
    <row r="114" spans="8:11" x14ac:dyDescent="0.3">
      <c r="H114">
        <v>8.5999999999999801</v>
      </c>
      <c r="I114">
        <f t="shared" si="4"/>
        <v>530.54454063747232</v>
      </c>
      <c r="J114">
        <f t="shared" si="5"/>
        <v>531.35859245813094</v>
      </c>
      <c r="K114">
        <f t="shared" si="6"/>
        <v>531.36</v>
      </c>
    </row>
    <row r="115" spans="8:11" x14ac:dyDescent="0.3">
      <c r="H115">
        <v>8.6499999999999808</v>
      </c>
      <c r="I115">
        <f t="shared" si="4"/>
        <v>529.72383459441721</v>
      </c>
      <c r="J115">
        <f t="shared" si="5"/>
        <v>530.5325933941707</v>
      </c>
      <c r="K115">
        <f t="shared" si="6"/>
        <v>530.53</v>
      </c>
    </row>
    <row r="116" spans="8:11" x14ac:dyDescent="0.3">
      <c r="H116">
        <v>8.6999999999999797</v>
      </c>
      <c r="I116">
        <f t="shared" si="4"/>
        <v>528.90846046141223</v>
      </c>
      <c r="J116">
        <f t="shared" si="5"/>
        <v>529.7119461264092</v>
      </c>
      <c r="K116">
        <f t="shared" si="6"/>
        <v>529.71</v>
      </c>
    </row>
    <row r="117" spans="8:11" x14ac:dyDescent="0.3">
      <c r="H117">
        <v>8.7499999999999805</v>
      </c>
      <c r="I117">
        <f t="shared" si="4"/>
        <v>528.09836328125039</v>
      </c>
      <c r="J117">
        <f t="shared" si="5"/>
        <v>528.89659625900845</v>
      </c>
      <c r="K117">
        <f t="shared" si="6"/>
        <v>528.9</v>
      </c>
    </row>
    <row r="118" spans="8:11" x14ac:dyDescent="0.3">
      <c r="H118">
        <v>8.7999999999999794</v>
      </c>
      <c r="I118">
        <f t="shared" si="4"/>
        <v>527.29348853171234</v>
      </c>
      <c r="J118">
        <f t="shared" si="5"/>
        <v>528.08648981040733</v>
      </c>
      <c r="K118">
        <f t="shared" si="6"/>
        <v>528.09</v>
      </c>
    </row>
    <row r="119" spans="8:11" x14ac:dyDescent="0.3">
      <c r="H119">
        <v>8.8499999999999801</v>
      </c>
      <c r="I119">
        <f t="shared" si="4"/>
        <v>526.49378212556735</v>
      </c>
      <c r="J119">
        <f t="shared" si="5"/>
        <v>527.28157321381354</v>
      </c>
      <c r="K119">
        <f t="shared" si="6"/>
        <v>527.28</v>
      </c>
    </row>
    <row r="120" spans="8:11" x14ac:dyDescent="0.3">
      <c r="H120">
        <v>8.8999999999999808</v>
      </c>
      <c r="I120">
        <f t="shared" si="4"/>
        <v>525.69919041057233</v>
      </c>
      <c r="J120">
        <f t="shared" si="5"/>
        <v>526.48179331768574</v>
      </c>
      <c r="K120">
        <f t="shared" si="6"/>
        <v>526.48</v>
      </c>
    </row>
    <row r="121" spans="8:11" x14ac:dyDescent="0.3">
      <c r="H121">
        <v>8.9499999999999797</v>
      </c>
      <c r="I121">
        <f t="shared" si="4"/>
        <v>524.90966016947232</v>
      </c>
      <c r="J121">
        <f t="shared" si="5"/>
        <v>525.68709738621442</v>
      </c>
      <c r="K121">
        <f t="shared" si="6"/>
        <v>525.69000000000005</v>
      </c>
    </row>
    <row r="122" spans="8:11" x14ac:dyDescent="0.3">
      <c r="H122">
        <v>8.9999999999999805</v>
      </c>
      <c r="I122">
        <f t="shared" si="4"/>
        <v>524.12513862000014</v>
      </c>
      <c r="J122">
        <f t="shared" si="5"/>
        <v>524.89743309979804</v>
      </c>
      <c r="K122">
        <f t="shared" si="6"/>
        <v>524.9</v>
      </c>
    </row>
    <row r="123" spans="8:11" x14ac:dyDescent="0.3">
      <c r="H123">
        <v>9.0499999999999794</v>
      </c>
      <c r="I123">
        <f t="shared" si="4"/>
        <v>523.34557341487732</v>
      </c>
      <c r="J123">
        <f t="shared" si="5"/>
        <v>524.11274855551289</v>
      </c>
      <c r="K123">
        <f t="shared" si="6"/>
        <v>524.11</v>
      </c>
    </row>
    <row r="124" spans="8:11" x14ac:dyDescent="0.3">
      <c r="H124">
        <v>9.0999999999999801</v>
      </c>
      <c r="I124">
        <f t="shared" si="4"/>
        <v>522.57091264181236</v>
      </c>
      <c r="J124">
        <f t="shared" si="5"/>
        <v>523.33299226757799</v>
      </c>
      <c r="K124">
        <f t="shared" si="6"/>
        <v>523.33000000000004</v>
      </c>
    </row>
    <row r="125" spans="8:11" x14ac:dyDescent="0.3">
      <c r="H125">
        <v>9.1499999999999808</v>
      </c>
      <c r="I125">
        <f t="shared" si="4"/>
        <v>521.80110482350221</v>
      </c>
      <c r="J125">
        <f t="shared" si="5"/>
        <v>522.5581131678166</v>
      </c>
      <c r="K125">
        <f t="shared" si="6"/>
        <v>522.55999999999995</v>
      </c>
    </row>
    <row r="126" spans="8:11" x14ac:dyDescent="0.3">
      <c r="H126">
        <v>9.1999999999999797</v>
      </c>
      <c r="I126">
        <f t="shared" si="4"/>
        <v>521.03609891763222</v>
      </c>
      <c r="J126">
        <f t="shared" si="5"/>
        <v>521.78806060611009</v>
      </c>
      <c r="K126">
        <f t="shared" si="6"/>
        <v>521.79</v>
      </c>
    </row>
    <row r="127" spans="8:11" x14ac:dyDescent="0.3">
      <c r="H127">
        <v>9.2499999999999805</v>
      </c>
      <c r="I127">
        <f t="shared" si="4"/>
        <v>520.27584431687524</v>
      </c>
      <c r="J127">
        <f t="shared" si="5"/>
        <v>521.02278435084679</v>
      </c>
      <c r="K127">
        <f t="shared" si="6"/>
        <v>521.02</v>
      </c>
    </row>
    <row r="128" spans="8:11" x14ac:dyDescent="0.3">
      <c r="H128">
        <v>9.2999999999999794</v>
      </c>
      <c r="I128">
        <f t="shared" si="4"/>
        <v>519.52029084889227</v>
      </c>
      <c r="J128">
        <f t="shared" si="5"/>
        <v>520.26223458936488</v>
      </c>
      <c r="K128">
        <f t="shared" si="6"/>
        <v>520.26</v>
      </c>
    </row>
    <row r="129" spans="8:11" x14ac:dyDescent="0.3">
      <c r="H129">
        <v>9.3499999999999801</v>
      </c>
      <c r="I129">
        <f t="shared" si="4"/>
        <v>518.76938877633222</v>
      </c>
      <c r="J129">
        <f t="shared" si="5"/>
        <v>519.50636192839045</v>
      </c>
      <c r="K129">
        <f t="shared" si="6"/>
        <v>519.51</v>
      </c>
    </row>
    <row r="130" spans="8:11" x14ac:dyDescent="0.3">
      <c r="H130">
        <v>9.3999999999999808</v>
      </c>
      <c r="I130">
        <f t="shared" si="4"/>
        <v>518.02308879683221</v>
      </c>
      <c r="J130">
        <f t="shared" si="5"/>
        <v>518.75511739446756</v>
      </c>
      <c r="K130">
        <f t="shared" si="6"/>
        <v>518.76</v>
      </c>
    </row>
    <row r="131" spans="8:11" x14ac:dyDescent="0.3">
      <c r="H131">
        <v>9.4499999999999797</v>
      </c>
      <c r="I131">
        <f t="shared" ref="I131:I194" si="7">28.9992*(H131/10)^4 - 173.9035*(H131/10)^3 + 427.7295*(H131/10)^2 - 588.2962*(H131/10) +814.8801</f>
        <v>517.28134204301728</v>
      </c>
      <c r="J131">
        <f t="shared" ref="J131:J194" si="8">0.000000000646*I131^4-0.0000015648*I131^3+0.0013882318*I131^2-0.5311145615*I131+74.3371688691+I131</f>
        <v>518.00845243438357</v>
      </c>
      <c r="K131">
        <f t="shared" ref="K131:K194" si="9">ROUND(J131,2)</f>
        <v>518.01</v>
      </c>
    </row>
    <row r="132" spans="8:11" x14ac:dyDescent="0.3">
      <c r="H132">
        <v>9.4999999999999805</v>
      </c>
      <c r="I132">
        <f t="shared" si="7"/>
        <v>516.54410008250011</v>
      </c>
      <c r="J132">
        <f t="shared" si="8"/>
        <v>517.26631891558782</v>
      </c>
      <c r="K132">
        <f t="shared" si="9"/>
        <v>517.27</v>
      </c>
    </row>
    <row r="133" spans="8:11" x14ac:dyDescent="0.3">
      <c r="H133">
        <v>9.5499999999999794</v>
      </c>
      <c r="I133">
        <f t="shared" si="7"/>
        <v>515.81131491788221</v>
      </c>
      <c r="J133">
        <f t="shared" si="8"/>
        <v>516.52866912660363</v>
      </c>
      <c r="K133">
        <f t="shared" si="9"/>
        <v>516.53</v>
      </c>
    </row>
    <row r="134" spans="8:11" x14ac:dyDescent="0.3">
      <c r="H134">
        <v>9.5999999999999801</v>
      </c>
      <c r="I134">
        <f t="shared" si="7"/>
        <v>515.0829389867522</v>
      </c>
      <c r="J134">
        <f t="shared" si="8"/>
        <v>515.79545577743352</v>
      </c>
      <c r="K134">
        <f t="shared" si="9"/>
        <v>515.79999999999995</v>
      </c>
    </row>
    <row r="135" spans="8:11" x14ac:dyDescent="0.3">
      <c r="H135">
        <v>9.6499999999999808</v>
      </c>
      <c r="I135">
        <f t="shared" si="7"/>
        <v>514.35892516168724</v>
      </c>
      <c r="J135">
        <f t="shared" si="8"/>
        <v>515.06663199995921</v>
      </c>
      <c r="K135">
        <f t="shared" si="9"/>
        <v>515.07000000000005</v>
      </c>
    </row>
    <row r="136" spans="8:11" x14ac:dyDescent="0.3">
      <c r="H136">
        <v>9.6999999999999797</v>
      </c>
      <c r="I136">
        <f t="shared" si="7"/>
        <v>513.63922675025219</v>
      </c>
      <c r="J136">
        <f t="shared" si="8"/>
        <v>514.34215134833346</v>
      </c>
      <c r="K136">
        <f t="shared" si="9"/>
        <v>514.34</v>
      </c>
    </row>
    <row r="137" spans="8:11" x14ac:dyDescent="0.3">
      <c r="H137">
        <v>9.7499999999999805</v>
      </c>
      <c r="I137">
        <f t="shared" si="7"/>
        <v>512.92379749500014</v>
      </c>
      <c r="J137">
        <f t="shared" si="8"/>
        <v>513.62196779936653</v>
      </c>
      <c r="K137">
        <f t="shared" si="9"/>
        <v>513.62</v>
      </c>
    </row>
    <row r="138" spans="8:11" x14ac:dyDescent="0.3">
      <c r="H138">
        <v>9.7999999999999794</v>
      </c>
      <c r="I138">
        <f t="shared" si="7"/>
        <v>512.2125915734722</v>
      </c>
      <c r="J138">
        <f t="shared" si="8"/>
        <v>512.9060357529047</v>
      </c>
      <c r="K138">
        <f t="shared" si="9"/>
        <v>512.91</v>
      </c>
    </row>
    <row r="139" spans="8:11" x14ac:dyDescent="0.3">
      <c r="H139">
        <v>9.8499999999999801</v>
      </c>
      <c r="I139">
        <f t="shared" si="7"/>
        <v>511.50556359819723</v>
      </c>
      <c r="J139">
        <f t="shared" si="8"/>
        <v>512.19431003220325</v>
      </c>
      <c r="K139">
        <f t="shared" si="9"/>
        <v>512.19000000000005</v>
      </c>
    </row>
    <row r="140" spans="8:11" x14ac:dyDescent="0.3">
      <c r="H140">
        <v>9.8999999999999808</v>
      </c>
      <c r="I140">
        <f t="shared" si="7"/>
        <v>510.80266861669224</v>
      </c>
      <c r="J140">
        <f t="shared" si="8"/>
        <v>511.48674588429196</v>
      </c>
      <c r="K140">
        <f t="shared" si="9"/>
        <v>511.49</v>
      </c>
    </row>
    <row r="141" spans="8:11" x14ac:dyDescent="0.3">
      <c r="H141">
        <v>9.9499999999999797</v>
      </c>
      <c r="I141">
        <f t="shared" si="7"/>
        <v>510.10386211146226</v>
      </c>
      <c r="J141">
        <f t="shared" si="8"/>
        <v>510.78329898033417</v>
      </c>
      <c r="K141">
        <f t="shared" si="9"/>
        <v>510.78</v>
      </c>
    </row>
    <row r="142" spans="8:11" x14ac:dyDescent="0.3">
      <c r="H142">
        <v>9.9999999999999805</v>
      </c>
      <c r="I142">
        <f t="shared" si="7"/>
        <v>509.40910000000019</v>
      </c>
      <c r="J142">
        <f t="shared" si="8"/>
        <v>510.08392541597868</v>
      </c>
      <c r="K142">
        <f t="shared" si="9"/>
        <v>510.08</v>
      </c>
    </row>
    <row r="143" spans="8:11" x14ac:dyDescent="0.3">
      <c r="H143">
        <v>10.050000000000001</v>
      </c>
      <c r="I143">
        <f t="shared" si="7"/>
        <v>508.71833863478696</v>
      </c>
      <c r="J143">
        <f t="shared" si="8"/>
        <v>509.388581711705</v>
      </c>
      <c r="K143">
        <f t="shared" si="9"/>
        <v>509.39</v>
      </c>
    </row>
    <row r="144" spans="8:11" x14ac:dyDescent="0.3">
      <c r="H144">
        <v>10.1</v>
      </c>
      <c r="I144">
        <f t="shared" si="7"/>
        <v>508.03153480329195</v>
      </c>
      <c r="J144">
        <f t="shared" si="8"/>
        <v>508.69722481316296</v>
      </c>
      <c r="K144">
        <f t="shared" si="9"/>
        <v>508.7</v>
      </c>
    </row>
    <row r="145" spans="8:11" x14ac:dyDescent="0.3">
      <c r="H145">
        <v>10.15</v>
      </c>
      <c r="I145">
        <f t="shared" si="7"/>
        <v>507.34864572797187</v>
      </c>
      <c r="J145">
        <f t="shared" si="8"/>
        <v>508.00981209150268</v>
      </c>
      <c r="K145">
        <f t="shared" si="9"/>
        <v>508.01</v>
      </c>
    </row>
    <row r="146" spans="8:11" x14ac:dyDescent="0.3">
      <c r="H146">
        <v>10.199999999999999</v>
      </c>
      <c r="I146">
        <f t="shared" si="7"/>
        <v>506.66962906627191</v>
      </c>
      <c r="J146">
        <f t="shared" si="8"/>
        <v>507.32630134370095</v>
      </c>
      <c r="K146">
        <f t="shared" si="9"/>
        <v>507.33</v>
      </c>
    </row>
    <row r="147" spans="8:11" x14ac:dyDescent="0.3">
      <c r="H147">
        <v>10.25</v>
      </c>
      <c r="I147">
        <f t="shared" si="7"/>
        <v>505.99444291062491</v>
      </c>
      <c r="J147">
        <f t="shared" si="8"/>
        <v>506.64665079287875</v>
      </c>
      <c r="K147">
        <f t="shared" si="9"/>
        <v>506.65</v>
      </c>
    </row>
    <row r="148" spans="8:11" x14ac:dyDescent="0.3">
      <c r="H148">
        <v>10.3</v>
      </c>
      <c r="I148">
        <f t="shared" si="7"/>
        <v>505.32304578845185</v>
      </c>
      <c r="J148">
        <f t="shared" si="8"/>
        <v>505.97081908861321</v>
      </c>
      <c r="K148">
        <f t="shared" si="9"/>
        <v>505.97</v>
      </c>
    </row>
    <row r="149" spans="8:11" x14ac:dyDescent="0.3">
      <c r="H149">
        <v>10.35</v>
      </c>
      <c r="I149">
        <f t="shared" si="7"/>
        <v>504.65539666216205</v>
      </c>
      <c r="J149">
        <f t="shared" si="8"/>
        <v>505.29876530724209</v>
      </c>
      <c r="K149">
        <f t="shared" si="9"/>
        <v>505.3</v>
      </c>
    </row>
    <row r="150" spans="8:11" x14ac:dyDescent="0.3">
      <c r="H150">
        <v>10.4</v>
      </c>
      <c r="I150">
        <f t="shared" si="7"/>
        <v>503.99145492915204</v>
      </c>
      <c r="J150">
        <f t="shared" si="8"/>
        <v>504.63044895216137</v>
      </c>
      <c r="K150">
        <f t="shared" si="9"/>
        <v>504.63</v>
      </c>
    </row>
    <row r="151" spans="8:11" x14ac:dyDescent="0.3">
      <c r="H151">
        <v>10.45</v>
      </c>
      <c r="I151">
        <f t="shared" si="7"/>
        <v>503.33118042180695</v>
      </c>
      <c r="J151">
        <f t="shared" si="8"/>
        <v>503.96582995411757</v>
      </c>
      <c r="K151">
        <f t="shared" si="9"/>
        <v>503.97</v>
      </c>
    </row>
    <row r="152" spans="8:11" x14ac:dyDescent="0.3">
      <c r="H152">
        <v>10.5</v>
      </c>
      <c r="I152">
        <f t="shared" si="7"/>
        <v>502.67453340749995</v>
      </c>
      <c r="J152">
        <f t="shared" si="8"/>
        <v>503.30486867149204</v>
      </c>
      <c r="K152">
        <f t="shared" si="9"/>
        <v>503.3</v>
      </c>
    </row>
    <row r="153" spans="8:11" x14ac:dyDescent="0.3">
      <c r="H153">
        <v>10.55</v>
      </c>
      <c r="I153">
        <f t="shared" si="7"/>
        <v>502.02147458859201</v>
      </c>
      <c r="J153">
        <f t="shared" si="8"/>
        <v>502.64752589057923</v>
      </c>
      <c r="K153">
        <f t="shared" si="9"/>
        <v>502.65</v>
      </c>
    </row>
    <row r="154" spans="8:11" x14ac:dyDescent="0.3">
      <c r="H154">
        <v>10.6</v>
      </c>
      <c r="I154">
        <f t="shared" si="7"/>
        <v>501.37196510243194</v>
      </c>
      <c r="J154">
        <f t="shared" si="8"/>
        <v>501.9937628258582</v>
      </c>
      <c r="K154">
        <f t="shared" si="9"/>
        <v>501.99</v>
      </c>
    </row>
    <row r="155" spans="8:11" x14ac:dyDescent="0.3">
      <c r="H155">
        <v>10.65</v>
      </c>
      <c r="I155">
        <f t="shared" si="7"/>
        <v>500.7259665213569</v>
      </c>
      <c r="J155">
        <f t="shared" si="8"/>
        <v>501.34354112025795</v>
      </c>
      <c r="K155">
        <f t="shared" si="9"/>
        <v>501.34</v>
      </c>
    </row>
    <row r="156" spans="8:11" x14ac:dyDescent="0.3">
      <c r="H156">
        <v>10.7</v>
      </c>
      <c r="I156">
        <f t="shared" si="7"/>
        <v>500.08344085269192</v>
      </c>
      <c r="J156">
        <f t="shared" si="8"/>
        <v>500.69682284541625</v>
      </c>
      <c r="K156">
        <f t="shared" si="9"/>
        <v>500.7</v>
      </c>
    </row>
    <row r="157" spans="8:11" x14ac:dyDescent="0.3">
      <c r="H157">
        <v>10.75</v>
      </c>
      <c r="I157">
        <f t="shared" si="7"/>
        <v>499.44435053874997</v>
      </c>
      <c r="J157">
        <f t="shared" si="8"/>
        <v>500.05357050193163</v>
      </c>
      <c r="K157">
        <f t="shared" si="9"/>
        <v>500.05</v>
      </c>
    </row>
    <row r="158" spans="8:11" x14ac:dyDescent="0.3">
      <c r="H158">
        <v>10.8</v>
      </c>
      <c r="I158">
        <f t="shared" si="7"/>
        <v>498.80865845683184</v>
      </c>
      <c r="J158">
        <f t="shared" si="8"/>
        <v>499.41374701960945</v>
      </c>
      <c r="K158">
        <f t="shared" si="9"/>
        <v>499.41</v>
      </c>
    </row>
    <row r="159" spans="8:11" x14ac:dyDescent="0.3">
      <c r="H159">
        <v>10.85</v>
      </c>
      <c r="I159">
        <f t="shared" si="7"/>
        <v>498.17632791922688</v>
      </c>
      <c r="J159">
        <f t="shared" si="8"/>
        <v>498.77731575770235</v>
      </c>
      <c r="K159">
        <f t="shared" si="9"/>
        <v>498.78</v>
      </c>
    </row>
    <row r="160" spans="8:11" x14ac:dyDescent="0.3">
      <c r="H160">
        <v>10.9</v>
      </c>
      <c r="I160">
        <f t="shared" si="7"/>
        <v>497.54732267321191</v>
      </c>
      <c r="J160">
        <f t="shared" si="8"/>
        <v>498.14424050514208</v>
      </c>
      <c r="K160">
        <f t="shared" si="9"/>
        <v>498.14</v>
      </c>
    </row>
    <row r="161" spans="8:11" x14ac:dyDescent="0.3">
      <c r="H161">
        <v>10.95</v>
      </c>
      <c r="I161">
        <f t="shared" si="7"/>
        <v>496.92160690105192</v>
      </c>
      <c r="J161">
        <f t="shared" si="8"/>
        <v>497.51448548076831</v>
      </c>
      <c r="K161">
        <f t="shared" si="9"/>
        <v>497.51</v>
      </c>
    </row>
    <row r="162" spans="8:11" x14ac:dyDescent="0.3">
      <c r="H162">
        <v>11</v>
      </c>
      <c r="I162">
        <f t="shared" si="7"/>
        <v>496.2991452199999</v>
      </c>
      <c r="J162">
        <f t="shared" si="8"/>
        <v>496.88801533354911</v>
      </c>
      <c r="K162">
        <f t="shared" si="9"/>
        <v>496.89</v>
      </c>
    </row>
    <row r="163" spans="8:11" x14ac:dyDescent="0.3">
      <c r="H163">
        <v>11.05</v>
      </c>
      <c r="I163">
        <f t="shared" si="7"/>
        <v>495.67990268229687</v>
      </c>
      <c r="J163">
        <f t="shared" si="8"/>
        <v>496.26479514279617</v>
      </c>
      <c r="K163">
        <f t="shared" si="9"/>
        <v>496.26</v>
      </c>
    </row>
    <row r="164" spans="8:11" x14ac:dyDescent="0.3">
      <c r="H164">
        <v>11.1</v>
      </c>
      <c r="I164">
        <f t="shared" si="7"/>
        <v>495.06384477517202</v>
      </c>
      <c r="J164">
        <f t="shared" si="8"/>
        <v>495.6447904183741</v>
      </c>
      <c r="K164">
        <f t="shared" si="9"/>
        <v>495.64</v>
      </c>
    </row>
    <row r="165" spans="8:11" x14ac:dyDescent="0.3">
      <c r="H165">
        <v>11.15</v>
      </c>
      <c r="I165">
        <f t="shared" si="7"/>
        <v>494.45093742084191</v>
      </c>
      <c r="J165">
        <f t="shared" si="8"/>
        <v>495.02796710090263</v>
      </c>
      <c r="K165">
        <f t="shared" si="9"/>
        <v>495.03</v>
      </c>
    </row>
    <row r="166" spans="8:11" x14ac:dyDescent="0.3">
      <c r="H166">
        <v>11.2</v>
      </c>
      <c r="I166">
        <f t="shared" si="7"/>
        <v>493.84114697651199</v>
      </c>
      <c r="J166">
        <f t="shared" si="8"/>
        <v>494.41429156195562</v>
      </c>
      <c r="K166">
        <f t="shared" si="9"/>
        <v>494.41</v>
      </c>
    </row>
    <row r="167" spans="8:11" x14ac:dyDescent="0.3">
      <c r="H167">
        <v>11.25</v>
      </c>
      <c r="I167">
        <f t="shared" si="7"/>
        <v>493.23444023437492</v>
      </c>
      <c r="J167">
        <f t="shared" si="8"/>
        <v>493.80373060425097</v>
      </c>
      <c r="K167">
        <f t="shared" si="9"/>
        <v>493.8</v>
      </c>
    </row>
    <row r="168" spans="8:11" x14ac:dyDescent="0.3">
      <c r="H168">
        <v>11.3</v>
      </c>
      <c r="I168">
        <f t="shared" si="7"/>
        <v>492.63078442161202</v>
      </c>
      <c r="J168">
        <f t="shared" si="8"/>
        <v>493.19625146183768</v>
      </c>
      <c r="K168">
        <f t="shared" si="9"/>
        <v>493.2</v>
      </c>
    </row>
    <row r="169" spans="8:11" x14ac:dyDescent="0.3">
      <c r="H169">
        <v>11.35</v>
      </c>
      <c r="I169">
        <f t="shared" si="7"/>
        <v>492.03014720039187</v>
      </c>
      <c r="J169">
        <f t="shared" si="8"/>
        <v>492.59182180027426</v>
      </c>
      <c r="K169">
        <f t="shared" si="9"/>
        <v>492.59</v>
      </c>
    </row>
    <row r="170" spans="8:11" x14ac:dyDescent="0.3">
      <c r="H170">
        <v>11.4</v>
      </c>
      <c r="I170">
        <f t="shared" si="7"/>
        <v>491.43249666787199</v>
      </c>
      <c r="J170">
        <f t="shared" si="8"/>
        <v>491.99040971680546</v>
      </c>
      <c r="K170">
        <f t="shared" si="9"/>
        <v>491.99</v>
      </c>
    </row>
    <row r="171" spans="8:11" x14ac:dyDescent="0.3">
      <c r="H171">
        <v>11.45</v>
      </c>
      <c r="I171">
        <f t="shared" si="7"/>
        <v>490.83780135619691</v>
      </c>
      <c r="J171">
        <f t="shared" si="8"/>
        <v>491.39198374052887</v>
      </c>
      <c r="K171">
        <f t="shared" si="9"/>
        <v>491.39</v>
      </c>
    </row>
    <row r="172" spans="8:11" x14ac:dyDescent="0.3">
      <c r="H172">
        <v>11.5</v>
      </c>
      <c r="I172">
        <f t="shared" si="7"/>
        <v>490.24603023249989</v>
      </c>
      <c r="J172">
        <f t="shared" si="8"/>
        <v>490.79651283256021</v>
      </c>
      <c r="K172">
        <f t="shared" si="9"/>
        <v>490.8</v>
      </c>
    </row>
    <row r="173" spans="8:11" x14ac:dyDescent="0.3">
      <c r="H173">
        <v>11.55</v>
      </c>
      <c r="I173">
        <f t="shared" si="7"/>
        <v>489.65715269890188</v>
      </c>
      <c r="J173">
        <f t="shared" si="8"/>
        <v>490.20396638619036</v>
      </c>
      <c r="K173">
        <f t="shared" si="9"/>
        <v>490.2</v>
      </c>
    </row>
    <row r="174" spans="8:11" x14ac:dyDescent="0.3">
      <c r="H174">
        <v>11.6</v>
      </c>
      <c r="I174">
        <f t="shared" si="7"/>
        <v>489.07113859251194</v>
      </c>
      <c r="J174">
        <f t="shared" si="8"/>
        <v>489.61431422703845</v>
      </c>
      <c r="K174">
        <f t="shared" si="9"/>
        <v>489.61</v>
      </c>
    </row>
    <row r="175" spans="8:11" x14ac:dyDescent="0.3">
      <c r="H175">
        <v>11.65</v>
      </c>
      <c r="I175">
        <f t="shared" si="7"/>
        <v>488.48795818542692</v>
      </c>
      <c r="J175">
        <f t="shared" si="8"/>
        <v>489.02752661319892</v>
      </c>
      <c r="K175">
        <f t="shared" si="9"/>
        <v>489.03</v>
      </c>
    </row>
    <row r="176" spans="8:11" x14ac:dyDescent="0.3">
      <c r="H176">
        <v>11.7</v>
      </c>
      <c r="I176">
        <f t="shared" si="7"/>
        <v>487.90758218473184</v>
      </c>
      <c r="J176">
        <f t="shared" si="8"/>
        <v>488.44357423538429</v>
      </c>
      <c r="K176">
        <f t="shared" si="9"/>
        <v>488.44</v>
      </c>
    </row>
    <row r="177" spans="8:11" x14ac:dyDescent="0.3">
      <c r="H177">
        <v>11.75</v>
      </c>
      <c r="I177">
        <f t="shared" si="7"/>
        <v>487.3299817324999</v>
      </c>
      <c r="J177">
        <f t="shared" si="8"/>
        <v>487.86242821706207</v>
      </c>
      <c r="K177">
        <f t="shared" si="9"/>
        <v>487.86</v>
      </c>
    </row>
    <row r="178" spans="8:11" x14ac:dyDescent="0.3">
      <c r="H178">
        <v>11.8</v>
      </c>
      <c r="I178">
        <f t="shared" si="7"/>
        <v>486.75512840579188</v>
      </c>
      <c r="J178">
        <f t="shared" si="8"/>
        <v>487.2840601145864</v>
      </c>
      <c r="K178">
        <f t="shared" si="9"/>
        <v>487.28</v>
      </c>
    </row>
    <row r="179" spans="8:11" x14ac:dyDescent="0.3">
      <c r="H179">
        <v>11.85</v>
      </c>
      <c r="I179">
        <f t="shared" si="7"/>
        <v>486.18299421665688</v>
      </c>
      <c r="J179">
        <f t="shared" si="8"/>
        <v>486.70844191732522</v>
      </c>
      <c r="K179">
        <f t="shared" si="9"/>
        <v>486.71</v>
      </c>
    </row>
    <row r="180" spans="8:11" x14ac:dyDescent="0.3">
      <c r="H180">
        <v>11.9</v>
      </c>
      <c r="I180">
        <f t="shared" si="7"/>
        <v>485.61355161213191</v>
      </c>
      <c r="J180">
        <f t="shared" si="8"/>
        <v>486.13554604778267</v>
      </c>
      <c r="K180">
        <f t="shared" si="9"/>
        <v>486.14</v>
      </c>
    </row>
    <row r="181" spans="8:11" x14ac:dyDescent="0.3">
      <c r="H181">
        <v>11.95</v>
      </c>
      <c r="I181">
        <f t="shared" si="7"/>
        <v>485.046773474242</v>
      </c>
      <c r="J181">
        <f t="shared" si="8"/>
        <v>485.56534536171603</v>
      </c>
      <c r="K181">
        <f t="shared" si="9"/>
        <v>485.57</v>
      </c>
    </row>
    <row r="182" spans="8:11" x14ac:dyDescent="0.3">
      <c r="H182">
        <v>12</v>
      </c>
      <c r="I182">
        <f t="shared" si="7"/>
        <v>484.48263312</v>
      </c>
      <c r="J182">
        <f t="shared" si="8"/>
        <v>484.99781314824764</v>
      </c>
      <c r="K182">
        <f t="shared" si="9"/>
        <v>485</v>
      </c>
    </row>
    <row r="183" spans="8:11" x14ac:dyDescent="0.3">
      <c r="H183">
        <v>12.05</v>
      </c>
      <c r="I183">
        <f t="shared" si="7"/>
        <v>483.9211043014069</v>
      </c>
      <c r="J183">
        <f t="shared" si="8"/>
        <v>484.43292312997323</v>
      </c>
      <c r="K183">
        <f t="shared" si="9"/>
        <v>484.43</v>
      </c>
    </row>
    <row r="184" spans="8:11" x14ac:dyDescent="0.3">
      <c r="H184">
        <v>12.1</v>
      </c>
      <c r="I184">
        <f t="shared" si="7"/>
        <v>483.36216120545191</v>
      </c>
      <c r="J184">
        <f t="shared" si="8"/>
        <v>483.87064946306469</v>
      </c>
      <c r="K184">
        <f t="shared" si="9"/>
        <v>483.87</v>
      </c>
    </row>
    <row r="185" spans="8:11" x14ac:dyDescent="0.3">
      <c r="H185">
        <v>12.15</v>
      </c>
      <c r="I185">
        <f t="shared" si="7"/>
        <v>482.80577845411187</v>
      </c>
      <c r="J185">
        <f t="shared" si="8"/>
        <v>483.31096673736772</v>
      </c>
      <c r="K185">
        <f t="shared" si="9"/>
        <v>483.31</v>
      </c>
    </row>
    <row r="186" spans="8:11" x14ac:dyDescent="0.3">
      <c r="H186">
        <v>12.2</v>
      </c>
      <c r="I186">
        <f t="shared" si="7"/>
        <v>482.25193110435185</v>
      </c>
      <c r="J186">
        <f t="shared" si="8"/>
        <v>482.75384997649678</v>
      </c>
      <c r="K186">
        <f t="shared" si="9"/>
        <v>482.75</v>
      </c>
    </row>
    <row r="187" spans="8:11" x14ac:dyDescent="0.3">
      <c r="H187">
        <v>12.25</v>
      </c>
      <c r="I187">
        <f t="shared" si="7"/>
        <v>481.70059464812493</v>
      </c>
      <c r="J187">
        <f t="shared" si="8"/>
        <v>482.19927463792339</v>
      </c>
      <c r="K187">
        <f t="shared" si="9"/>
        <v>482.2</v>
      </c>
    </row>
    <row r="188" spans="8:11" x14ac:dyDescent="0.3">
      <c r="H188">
        <v>12.3</v>
      </c>
      <c r="I188">
        <f t="shared" si="7"/>
        <v>481.15174501237186</v>
      </c>
      <c r="J188">
        <f t="shared" si="8"/>
        <v>481.64721661306078</v>
      </c>
      <c r="K188">
        <f t="shared" si="9"/>
        <v>481.65</v>
      </c>
    </row>
    <row r="189" spans="8:11" x14ac:dyDescent="0.3">
      <c r="H189">
        <v>12.35</v>
      </c>
      <c r="I189">
        <f t="shared" si="7"/>
        <v>480.60535855902185</v>
      </c>
      <c r="J189">
        <f t="shared" si="8"/>
        <v>481.09765222734563</v>
      </c>
      <c r="K189">
        <f t="shared" si="9"/>
        <v>481.1</v>
      </c>
    </row>
    <row r="190" spans="8:11" x14ac:dyDescent="0.3">
      <c r="H190">
        <v>12.4</v>
      </c>
      <c r="I190">
        <f t="shared" si="7"/>
        <v>480.0614120849919</v>
      </c>
      <c r="J190">
        <f t="shared" si="8"/>
        <v>480.55055824031308</v>
      </c>
      <c r="K190">
        <f t="shared" si="9"/>
        <v>480.55</v>
      </c>
    </row>
    <row r="191" spans="8:11" x14ac:dyDescent="0.3">
      <c r="H191">
        <v>12.45</v>
      </c>
      <c r="I191">
        <f t="shared" si="7"/>
        <v>479.51988282218701</v>
      </c>
      <c r="J191">
        <f t="shared" si="8"/>
        <v>480.00591184566917</v>
      </c>
      <c r="K191">
        <f t="shared" si="9"/>
        <v>480.01</v>
      </c>
    </row>
    <row r="192" spans="8:11" x14ac:dyDescent="0.3">
      <c r="H192">
        <v>12.5</v>
      </c>
      <c r="I192">
        <f t="shared" si="7"/>
        <v>478.98074843749998</v>
      </c>
      <c r="J192">
        <f t="shared" si="8"/>
        <v>479.46369067135799</v>
      </c>
      <c r="K192">
        <f t="shared" si="9"/>
        <v>479.46</v>
      </c>
    </row>
    <row r="193" spans="8:11" x14ac:dyDescent="0.3">
      <c r="H193">
        <v>12.55</v>
      </c>
      <c r="I193">
        <f t="shared" si="7"/>
        <v>478.44398703281183</v>
      </c>
      <c r="J193">
        <f t="shared" si="8"/>
        <v>478.92387277962621</v>
      </c>
      <c r="K193">
        <f t="shared" si="9"/>
        <v>478.92</v>
      </c>
    </row>
    <row r="194" spans="8:11" x14ac:dyDescent="0.3">
      <c r="H194">
        <v>12.6</v>
      </c>
      <c r="I194">
        <f t="shared" si="7"/>
        <v>477.909577144992</v>
      </c>
      <c r="J194">
        <f t="shared" si="8"/>
        <v>478.38643666708242</v>
      </c>
      <c r="K194">
        <f t="shared" si="9"/>
        <v>478.39</v>
      </c>
    </row>
    <row r="195" spans="8:11" x14ac:dyDescent="0.3">
      <c r="H195">
        <v>12.65</v>
      </c>
      <c r="I195">
        <f t="shared" ref="I195:I258" si="10">28.9992*(H195/10)^4 - 173.9035*(H195/10)^3 + 427.7295*(H195/10)^2 - 588.2962*(H195/10) +814.8801</f>
        <v>477.3774977458969</v>
      </c>
      <c r="J195">
        <f t="shared" ref="J195:J258" si="11">0.000000000646*I195^4-0.0000015648*I195^3+0.0013882318*I195^2-0.5311145615*I195+74.3371688691+I195</f>
        <v>477.85136126475152</v>
      </c>
      <c r="K195">
        <f t="shared" ref="K195:K258" si="12">ROUND(J195,2)</f>
        <v>477.85</v>
      </c>
    </row>
    <row r="196" spans="8:11" x14ac:dyDescent="0.3">
      <c r="H196">
        <v>12.7</v>
      </c>
      <c r="I196">
        <f t="shared" si="10"/>
        <v>476.847728242372</v>
      </c>
      <c r="J196">
        <f t="shared" si="11"/>
        <v>477.31862593812809</v>
      </c>
      <c r="K196">
        <f t="shared" si="12"/>
        <v>477.32</v>
      </c>
    </row>
    <row r="197" spans="8:11" x14ac:dyDescent="0.3">
      <c r="H197">
        <v>12.75</v>
      </c>
      <c r="I197">
        <f t="shared" si="10"/>
        <v>476.32024847624996</v>
      </c>
      <c r="J197">
        <f t="shared" si="11"/>
        <v>476.78821048722244</v>
      </c>
      <c r="K197">
        <f t="shared" si="12"/>
        <v>476.79</v>
      </c>
    </row>
    <row r="198" spans="8:11" x14ac:dyDescent="0.3">
      <c r="H198">
        <v>12.8</v>
      </c>
      <c r="I198">
        <f t="shared" si="10"/>
        <v>475.79503872435185</v>
      </c>
      <c r="J198">
        <f t="shared" si="11"/>
        <v>476.26009514660586</v>
      </c>
      <c r="K198">
        <f t="shared" si="12"/>
        <v>476.26</v>
      </c>
    </row>
    <row r="199" spans="8:11" x14ac:dyDescent="0.3">
      <c r="H199">
        <v>12.85</v>
      </c>
      <c r="I199">
        <f t="shared" si="10"/>
        <v>475.27207969848695</v>
      </c>
      <c r="J199">
        <f t="shared" si="11"/>
        <v>475.7342605854501</v>
      </c>
      <c r="K199">
        <f t="shared" si="12"/>
        <v>475.73</v>
      </c>
    </row>
    <row r="200" spans="8:11" x14ac:dyDescent="0.3">
      <c r="H200">
        <v>12.9</v>
      </c>
      <c r="I200">
        <f t="shared" si="10"/>
        <v>474.75135254545188</v>
      </c>
      <c r="J200">
        <f t="shared" si="11"/>
        <v>475.21068790756306</v>
      </c>
      <c r="K200">
        <f t="shared" si="12"/>
        <v>475.21</v>
      </c>
    </row>
    <row r="201" spans="8:11" x14ac:dyDescent="0.3">
      <c r="H201">
        <v>12.95</v>
      </c>
      <c r="I201">
        <f t="shared" si="10"/>
        <v>474.23283884703193</v>
      </c>
      <c r="J201">
        <f t="shared" si="11"/>
        <v>474.68935865142288</v>
      </c>
      <c r="K201">
        <f t="shared" si="12"/>
        <v>474.69</v>
      </c>
    </row>
    <row r="202" spans="8:11" x14ac:dyDescent="0.3">
      <c r="H202">
        <v>13</v>
      </c>
      <c r="I202">
        <f t="shared" si="10"/>
        <v>473.71652061999987</v>
      </c>
      <c r="J202">
        <f t="shared" si="11"/>
        <v>474.17025479020583</v>
      </c>
      <c r="K202">
        <f t="shared" si="12"/>
        <v>474.17</v>
      </c>
    </row>
    <row r="203" spans="8:11" x14ac:dyDescent="0.3">
      <c r="H203">
        <v>13.05</v>
      </c>
      <c r="I203">
        <f t="shared" si="10"/>
        <v>473.20238031611689</v>
      </c>
      <c r="J203">
        <f t="shared" si="11"/>
        <v>473.65335873181277</v>
      </c>
      <c r="K203">
        <f t="shared" si="12"/>
        <v>473.65</v>
      </c>
    </row>
    <row r="204" spans="8:11" x14ac:dyDescent="0.3">
      <c r="H204">
        <v>13.1</v>
      </c>
      <c r="I204">
        <f t="shared" si="10"/>
        <v>472.69040082213183</v>
      </c>
      <c r="J204">
        <f t="shared" si="11"/>
        <v>473.13865331889025</v>
      </c>
      <c r="K204">
        <f t="shared" si="12"/>
        <v>473.14</v>
      </c>
    </row>
    <row r="205" spans="8:11" x14ac:dyDescent="0.3">
      <c r="H205">
        <v>13.15</v>
      </c>
      <c r="I205">
        <f t="shared" si="10"/>
        <v>472.18056545978186</v>
      </c>
      <c r="J205">
        <f t="shared" si="11"/>
        <v>472.62612182884993</v>
      </c>
      <c r="K205">
        <f t="shared" si="12"/>
        <v>472.63</v>
      </c>
    </row>
    <row r="206" spans="8:11" x14ac:dyDescent="0.3">
      <c r="H206">
        <v>13.2</v>
      </c>
      <c r="I206">
        <f t="shared" si="10"/>
        <v>471.67285798579201</v>
      </c>
      <c r="J206">
        <f t="shared" si="11"/>
        <v>472.11574797388329</v>
      </c>
      <c r="K206">
        <f t="shared" si="12"/>
        <v>472.12</v>
      </c>
    </row>
    <row r="207" spans="8:11" x14ac:dyDescent="0.3">
      <c r="H207">
        <v>13.25</v>
      </c>
      <c r="I207">
        <f t="shared" si="10"/>
        <v>471.16726259187499</v>
      </c>
      <c r="J207">
        <f t="shared" si="11"/>
        <v>471.60751590097328</v>
      </c>
      <c r="K207">
        <f t="shared" si="12"/>
        <v>471.61</v>
      </c>
    </row>
    <row r="208" spans="8:11" x14ac:dyDescent="0.3">
      <c r="H208">
        <v>13.3</v>
      </c>
      <c r="I208">
        <f t="shared" si="10"/>
        <v>470.66376390473192</v>
      </c>
      <c r="J208">
        <f t="shared" si="11"/>
        <v>471.10141019190326</v>
      </c>
      <c r="K208">
        <f t="shared" si="12"/>
        <v>471.1</v>
      </c>
    </row>
    <row r="209" spans="8:11" x14ac:dyDescent="0.3">
      <c r="H209">
        <v>13.35</v>
      </c>
      <c r="I209">
        <f t="shared" si="10"/>
        <v>470.16234698605194</v>
      </c>
      <c r="J209">
        <f t="shared" si="11"/>
        <v>470.5974158632626</v>
      </c>
      <c r="K209">
        <f t="shared" si="12"/>
        <v>470.6</v>
      </c>
    </row>
    <row r="210" spans="8:11" x14ac:dyDescent="0.3">
      <c r="H210">
        <v>13.4</v>
      </c>
      <c r="I210">
        <f t="shared" si="10"/>
        <v>469.66299733251196</v>
      </c>
      <c r="J210">
        <f t="shared" si="11"/>
        <v>470.09551836644778</v>
      </c>
      <c r="K210">
        <f t="shared" si="12"/>
        <v>470.1</v>
      </c>
    </row>
    <row r="211" spans="8:11" x14ac:dyDescent="0.3">
      <c r="H211">
        <v>13.45</v>
      </c>
      <c r="I211">
        <f t="shared" si="10"/>
        <v>469.16570087577691</v>
      </c>
      <c r="J211">
        <f t="shared" si="11"/>
        <v>469.59570358766189</v>
      </c>
      <c r="K211">
        <f t="shared" si="12"/>
        <v>469.6</v>
      </c>
    </row>
    <row r="212" spans="8:11" x14ac:dyDescent="0.3">
      <c r="H212">
        <v>13.5</v>
      </c>
      <c r="I212">
        <f t="shared" si="10"/>
        <v>468.67044398249993</v>
      </c>
      <c r="J212">
        <f t="shared" si="11"/>
        <v>469.097957847911</v>
      </c>
      <c r="K212">
        <f t="shared" si="12"/>
        <v>469.1</v>
      </c>
    </row>
    <row r="213" spans="8:11" x14ac:dyDescent="0.3">
      <c r="H213">
        <v>13.55</v>
      </c>
      <c r="I213">
        <f t="shared" si="10"/>
        <v>468.17721345432193</v>
      </c>
      <c r="J213">
        <f t="shared" si="11"/>
        <v>468.60226790299606</v>
      </c>
      <c r="K213">
        <f t="shared" si="12"/>
        <v>468.6</v>
      </c>
    </row>
    <row r="214" spans="8:11" x14ac:dyDescent="0.3">
      <c r="H214">
        <v>13.6</v>
      </c>
      <c r="I214">
        <f t="shared" si="10"/>
        <v>467.68599652787185</v>
      </c>
      <c r="J214">
        <f t="shared" si="11"/>
        <v>468.10862094350318</v>
      </c>
      <c r="K214">
        <f t="shared" si="12"/>
        <v>468.11</v>
      </c>
    </row>
    <row r="215" spans="8:11" x14ac:dyDescent="0.3">
      <c r="H215">
        <v>13.65</v>
      </c>
      <c r="I215">
        <f t="shared" si="10"/>
        <v>467.19678087476683</v>
      </c>
      <c r="J215">
        <f t="shared" si="11"/>
        <v>467.61700459479084</v>
      </c>
      <c r="K215">
        <f t="shared" si="12"/>
        <v>467.62</v>
      </c>
    </row>
    <row r="216" spans="8:11" x14ac:dyDescent="0.3">
      <c r="H216">
        <v>13.7</v>
      </c>
      <c r="I216">
        <f t="shared" si="10"/>
        <v>466.70955460161184</v>
      </c>
      <c r="J216">
        <f t="shared" si="11"/>
        <v>467.1274069169732</v>
      </c>
      <c r="K216">
        <f t="shared" si="12"/>
        <v>467.13</v>
      </c>
    </row>
    <row r="217" spans="8:11" x14ac:dyDescent="0.3">
      <c r="H217">
        <v>13.75</v>
      </c>
      <c r="I217">
        <f t="shared" si="10"/>
        <v>466.22430624999981</v>
      </c>
      <c r="J217">
        <f t="shared" si="11"/>
        <v>466.63981640490181</v>
      </c>
      <c r="K217">
        <f t="shared" si="12"/>
        <v>466.64</v>
      </c>
    </row>
    <row r="218" spans="8:11" x14ac:dyDescent="0.3">
      <c r="H218">
        <v>13.8</v>
      </c>
      <c r="I218">
        <f t="shared" si="10"/>
        <v>465.74102479651185</v>
      </c>
      <c r="J218">
        <f t="shared" si="11"/>
        <v>466.15422198814377</v>
      </c>
      <c r="K218">
        <f t="shared" si="12"/>
        <v>466.15</v>
      </c>
    </row>
    <row r="219" spans="8:11" x14ac:dyDescent="0.3">
      <c r="H219">
        <v>13.85</v>
      </c>
      <c r="I219">
        <f t="shared" si="10"/>
        <v>465.2596996527169</v>
      </c>
      <c r="J219">
        <f t="shared" si="11"/>
        <v>465.67061303095733</v>
      </c>
      <c r="K219">
        <f t="shared" si="12"/>
        <v>465.67</v>
      </c>
    </row>
    <row r="220" spans="8:11" x14ac:dyDescent="0.3">
      <c r="H220">
        <v>13.9</v>
      </c>
      <c r="I220">
        <f t="shared" si="10"/>
        <v>464.78032066517187</v>
      </c>
      <c r="J220">
        <f t="shared" si="11"/>
        <v>465.18897933226481</v>
      </c>
      <c r="K220">
        <f t="shared" si="12"/>
        <v>465.19</v>
      </c>
    </row>
    <row r="221" spans="8:11" x14ac:dyDescent="0.3">
      <c r="H221">
        <v>13.95</v>
      </c>
      <c r="I221">
        <f t="shared" si="10"/>
        <v>464.30287811542195</v>
      </c>
      <c r="J221">
        <f t="shared" si="11"/>
        <v>464.70931112562323</v>
      </c>
      <c r="K221">
        <f t="shared" si="12"/>
        <v>464.71</v>
      </c>
    </row>
    <row r="222" spans="8:11" x14ac:dyDescent="0.3">
      <c r="H222">
        <v>14</v>
      </c>
      <c r="I222">
        <f t="shared" si="10"/>
        <v>463.82736271999988</v>
      </c>
      <c r="J222">
        <f t="shared" si="11"/>
        <v>464.23159907919126</v>
      </c>
      <c r="K222">
        <f t="shared" si="12"/>
        <v>464.23</v>
      </c>
    </row>
    <row r="223" spans="8:11" x14ac:dyDescent="0.3">
      <c r="H223">
        <v>14.05</v>
      </c>
      <c r="I223">
        <f t="shared" si="10"/>
        <v>463.35376563042695</v>
      </c>
      <c r="J223">
        <f t="shared" si="11"/>
        <v>463.75583429569508</v>
      </c>
      <c r="K223">
        <f t="shared" si="12"/>
        <v>463.76</v>
      </c>
    </row>
    <row r="224" spans="8:11" x14ac:dyDescent="0.3">
      <c r="H224">
        <v>14.1</v>
      </c>
      <c r="I224">
        <f t="shared" si="10"/>
        <v>462.88207843321192</v>
      </c>
      <c r="J224">
        <f t="shared" si="11"/>
        <v>463.28200831239081</v>
      </c>
      <c r="K224">
        <f t="shared" si="12"/>
        <v>463.28</v>
      </c>
    </row>
    <row r="225" spans="8:11" x14ac:dyDescent="0.3">
      <c r="H225">
        <v>14.15</v>
      </c>
      <c r="I225">
        <f t="shared" si="10"/>
        <v>462.41229314985191</v>
      </c>
      <c r="J225">
        <f t="shared" si="11"/>
        <v>462.81011310102463</v>
      </c>
      <c r="K225">
        <f t="shared" si="12"/>
        <v>462.81</v>
      </c>
    </row>
    <row r="226" spans="8:11" x14ac:dyDescent="0.3">
      <c r="H226">
        <v>14.2</v>
      </c>
      <c r="I226">
        <f t="shared" si="10"/>
        <v>461.94440223683193</v>
      </c>
      <c r="J226">
        <f t="shared" si="11"/>
        <v>462.34014106779046</v>
      </c>
      <c r="K226">
        <f t="shared" si="12"/>
        <v>462.34</v>
      </c>
    </row>
    <row r="227" spans="8:11" x14ac:dyDescent="0.3">
      <c r="H227">
        <v>14.25</v>
      </c>
      <c r="I227">
        <f t="shared" si="10"/>
        <v>461.47839858562486</v>
      </c>
      <c r="J227">
        <f t="shared" si="11"/>
        <v>461.87208505328539</v>
      </c>
      <c r="K227">
        <f t="shared" si="12"/>
        <v>461.87</v>
      </c>
    </row>
    <row r="228" spans="8:11" x14ac:dyDescent="0.3">
      <c r="H228">
        <v>14.3</v>
      </c>
      <c r="I228">
        <f t="shared" si="10"/>
        <v>461.01427552269189</v>
      </c>
      <c r="J228">
        <f t="shared" si="11"/>
        <v>461.40593833246362</v>
      </c>
      <c r="K228">
        <f t="shared" si="12"/>
        <v>461.41</v>
      </c>
    </row>
    <row r="229" spans="8:11" x14ac:dyDescent="0.3">
      <c r="H229">
        <v>14.35</v>
      </c>
      <c r="I229">
        <f t="shared" si="10"/>
        <v>460.55202680948196</v>
      </c>
      <c r="J229">
        <f t="shared" si="11"/>
        <v>460.94169461458637</v>
      </c>
      <c r="K229">
        <f t="shared" si="12"/>
        <v>460.94</v>
      </c>
    </row>
    <row r="230" spans="8:11" x14ac:dyDescent="0.3">
      <c r="H230">
        <v>14.4</v>
      </c>
      <c r="I230">
        <f t="shared" si="10"/>
        <v>460.0916466424319</v>
      </c>
      <c r="J230">
        <f t="shared" si="11"/>
        <v>460.47934804317043</v>
      </c>
      <c r="K230">
        <f t="shared" si="12"/>
        <v>460.48</v>
      </c>
    </row>
    <row r="231" spans="8:11" x14ac:dyDescent="0.3">
      <c r="H231">
        <v>14.45</v>
      </c>
      <c r="I231">
        <f t="shared" si="10"/>
        <v>459.63312965296689</v>
      </c>
      <c r="J231">
        <f t="shared" si="11"/>
        <v>460.0188931959363</v>
      </c>
      <c r="K231">
        <f t="shared" si="12"/>
        <v>460.02</v>
      </c>
    </row>
    <row r="232" spans="8:11" x14ac:dyDescent="0.3">
      <c r="H232">
        <v>14.5</v>
      </c>
      <c r="I232">
        <f t="shared" si="10"/>
        <v>459.17647090749989</v>
      </c>
      <c r="J232">
        <f t="shared" si="11"/>
        <v>459.56032508475084</v>
      </c>
      <c r="K232">
        <f t="shared" si="12"/>
        <v>459.56</v>
      </c>
    </row>
    <row r="233" spans="8:11" x14ac:dyDescent="0.3">
      <c r="H233">
        <v>14.55</v>
      </c>
      <c r="I233">
        <f t="shared" si="10"/>
        <v>458.72166590743188</v>
      </c>
      <c r="J233">
        <f t="shared" si="11"/>
        <v>459.10363915557059</v>
      </c>
      <c r="K233">
        <f t="shared" si="12"/>
        <v>459.1</v>
      </c>
    </row>
    <row r="234" spans="8:11" x14ac:dyDescent="0.3">
      <c r="H234">
        <v>14.6</v>
      </c>
      <c r="I234">
        <f t="shared" si="10"/>
        <v>458.26871058915174</v>
      </c>
      <c r="J234">
        <f t="shared" si="11"/>
        <v>458.64883128838221</v>
      </c>
      <c r="K234">
        <f t="shared" si="12"/>
        <v>458.65</v>
      </c>
    </row>
    <row r="235" spans="8:11" x14ac:dyDescent="0.3">
      <c r="H235">
        <v>14.65</v>
      </c>
      <c r="I235">
        <f t="shared" si="10"/>
        <v>457.81760132403679</v>
      </c>
      <c r="J235">
        <f t="shared" si="11"/>
        <v>458.19589779714113</v>
      </c>
      <c r="K235">
        <f t="shared" si="12"/>
        <v>458.2</v>
      </c>
    </row>
    <row r="236" spans="8:11" x14ac:dyDescent="0.3">
      <c r="H236">
        <v>14.7</v>
      </c>
      <c r="I236">
        <f t="shared" si="10"/>
        <v>457.36833491845186</v>
      </c>
      <c r="J236">
        <f t="shared" si="11"/>
        <v>457.74483542970722</v>
      </c>
      <c r="K236">
        <f t="shared" si="12"/>
        <v>457.74</v>
      </c>
    </row>
    <row r="237" spans="8:11" x14ac:dyDescent="0.3">
      <c r="H237">
        <v>14.75</v>
      </c>
      <c r="I237">
        <f t="shared" si="10"/>
        <v>456.92090861374982</v>
      </c>
      <c r="J237">
        <f t="shared" si="11"/>
        <v>457.29564136778066</v>
      </c>
      <c r="K237">
        <f t="shared" si="12"/>
        <v>457.3</v>
      </c>
    </row>
    <row r="238" spans="8:11" x14ac:dyDescent="0.3">
      <c r="H238">
        <v>14.8</v>
      </c>
      <c r="I238">
        <f t="shared" si="10"/>
        <v>456.47532008627195</v>
      </c>
      <c r="J238">
        <f t="shared" si="11"/>
        <v>456.84831322683476</v>
      </c>
      <c r="K238">
        <f t="shared" si="12"/>
        <v>456.85</v>
      </c>
    </row>
    <row r="239" spans="8:11" x14ac:dyDescent="0.3">
      <c r="H239">
        <v>14.85</v>
      </c>
      <c r="I239">
        <f t="shared" si="10"/>
        <v>456.0315674473469</v>
      </c>
      <c r="J239">
        <f t="shared" si="11"/>
        <v>456.40284905604631</v>
      </c>
      <c r="K239">
        <f t="shared" si="12"/>
        <v>456.4</v>
      </c>
    </row>
    <row r="240" spans="8:11" x14ac:dyDescent="0.3">
      <c r="H240">
        <v>14.9</v>
      </c>
      <c r="I240">
        <f t="shared" si="10"/>
        <v>455.58964924329189</v>
      </c>
      <c r="J240">
        <f t="shared" si="11"/>
        <v>455.95924733822665</v>
      </c>
      <c r="K240">
        <f t="shared" si="12"/>
        <v>455.96</v>
      </c>
    </row>
    <row r="241" spans="8:11" x14ac:dyDescent="0.3">
      <c r="H241">
        <v>14.95</v>
      </c>
      <c r="I241">
        <f t="shared" si="10"/>
        <v>455.14956445541191</v>
      </c>
      <c r="J241">
        <f t="shared" si="11"/>
        <v>455.51750698974888</v>
      </c>
      <c r="K241">
        <f t="shared" si="12"/>
        <v>455.52</v>
      </c>
    </row>
    <row r="242" spans="8:11" x14ac:dyDescent="0.3">
      <c r="H242">
        <v>15</v>
      </c>
      <c r="I242">
        <f t="shared" si="10"/>
        <v>454.71131249999985</v>
      </c>
      <c r="J242">
        <f t="shared" si="11"/>
        <v>455.07762736047425</v>
      </c>
      <c r="K242">
        <f t="shared" si="12"/>
        <v>455.08</v>
      </c>
    </row>
    <row r="243" spans="8:11" x14ac:dyDescent="0.3">
      <c r="H243">
        <v>15.05</v>
      </c>
      <c r="I243">
        <f t="shared" si="10"/>
        <v>454.27489322833685</v>
      </c>
      <c r="J243">
        <f t="shared" si="11"/>
        <v>454.63960823367768</v>
      </c>
      <c r="K243">
        <f t="shared" si="12"/>
        <v>454.64</v>
      </c>
    </row>
    <row r="244" spans="8:11" x14ac:dyDescent="0.3">
      <c r="H244">
        <v>15.1</v>
      </c>
      <c r="I244">
        <f t="shared" si="10"/>
        <v>453.84030692669182</v>
      </c>
      <c r="J244">
        <f t="shared" si="11"/>
        <v>454.20344982597078</v>
      </c>
      <c r="K244">
        <f t="shared" si="12"/>
        <v>454.2</v>
      </c>
    </row>
    <row r="245" spans="8:11" x14ac:dyDescent="0.3">
      <c r="H245">
        <v>15.15</v>
      </c>
      <c r="I245">
        <f t="shared" si="10"/>
        <v>453.40755431632181</v>
      </c>
      <c r="J245">
        <f t="shared" si="11"/>
        <v>453.76915278722458</v>
      </c>
      <c r="K245">
        <f t="shared" si="12"/>
        <v>453.77</v>
      </c>
    </row>
    <row r="246" spans="8:11" x14ac:dyDescent="0.3">
      <c r="H246">
        <v>15.2</v>
      </c>
      <c r="I246">
        <f t="shared" si="10"/>
        <v>452.97663655347174</v>
      </c>
      <c r="J246">
        <f t="shared" si="11"/>
        <v>453.33671820049028</v>
      </c>
      <c r="K246">
        <f t="shared" si="12"/>
        <v>453.34</v>
      </c>
    </row>
    <row r="247" spans="8:11" x14ac:dyDescent="0.3">
      <c r="H247">
        <v>15.25</v>
      </c>
      <c r="I247">
        <f t="shared" si="10"/>
        <v>452.54755522937478</v>
      </c>
      <c r="J247">
        <f t="shared" si="11"/>
        <v>452.90614758191879</v>
      </c>
      <c r="K247">
        <f t="shared" si="12"/>
        <v>452.91</v>
      </c>
    </row>
    <row r="248" spans="8:11" x14ac:dyDescent="0.3">
      <c r="H248">
        <v>15.3</v>
      </c>
      <c r="I248">
        <f t="shared" si="10"/>
        <v>452.12031237025178</v>
      </c>
      <c r="J248">
        <f t="shared" si="11"/>
        <v>452.47744288067912</v>
      </c>
      <c r="K248">
        <f t="shared" si="12"/>
        <v>452.48</v>
      </c>
    </row>
    <row r="249" spans="8:11" x14ac:dyDescent="0.3">
      <c r="H249">
        <v>15.35</v>
      </c>
      <c r="I249">
        <f t="shared" si="10"/>
        <v>451.69491043731193</v>
      </c>
      <c r="J249">
        <f t="shared" si="11"/>
        <v>452.05060647887649</v>
      </c>
      <c r="K249">
        <f t="shared" si="12"/>
        <v>452.05</v>
      </c>
    </row>
    <row r="250" spans="8:11" x14ac:dyDescent="0.3">
      <c r="H250">
        <v>15.4</v>
      </c>
      <c r="I250">
        <f t="shared" si="10"/>
        <v>451.27135232675175</v>
      </c>
      <c r="J250">
        <f t="shared" si="11"/>
        <v>451.62564119146714</v>
      </c>
      <c r="K250">
        <f t="shared" si="12"/>
        <v>451.63</v>
      </c>
    </row>
    <row r="251" spans="8:11" x14ac:dyDescent="0.3">
      <c r="H251">
        <v>15.45</v>
      </c>
      <c r="I251">
        <f t="shared" si="10"/>
        <v>450.84964136975702</v>
      </c>
      <c r="J251">
        <f t="shared" si="11"/>
        <v>451.20255026617644</v>
      </c>
      <c r="K251">
        <f t="shared" si="12"/>
        <v>451.2</v>
      </c>
    </row>
    <row r="252" spans="8:11" x14ac:dyDescent="0.3">
      <c r="H252">
        <v>15.5</v>
      </c>
      <c r="I252">
        <f t="shared" si="10"/>
        <v>450.42978133250017</v>
      </c>
      <c r="J252">
        <f t="shared" si="11"/>
        <v>450.78133738340978</v>
      </c>
      <c r="K252">
        <f t="shared" si="12"/>
        <v>450.78</v>
      </c>
    </row>
    <row r="253" spans="8:11" x14ac:dyDescent="0.3">
      <c r="H253">
        <v>15.55</v>
      </c>
      <c r="I253">
        <f t="shared" si="10"/>
        <v>450.01177641614208</v>
      </c>
      <c r="J253">
        <f t="shared" si="11"/>
        <v>450.36200665616917</v>
      </c>
      <c r="K253">
        <f t="shared" si="12"/>
        <v>450.36</v>
      </c>
    </row>
    <row r="254" spans="8:11" x14ac:dyDescent="0.3">
      <c r="H254">
        <v>15.6</v>
      </c>
      <c r="I254">
        <f t="shared" si="10"/>
        <v>449.59563125683178</v>
      </c>
      <c r="J254">
        <f t="shared" si="11"/>
        <v>449.94456262996459</v>
      </c>
      <c r="K254">
        <f t="shared" si="12"/>
        <v>449.94</v>
      </c>
    </row>
    <row r="255" spans="8:11" x14ac:dyDescent="0.3">
      <c r="H255">
        <v>15.65</v>
      </c>
      <c r="I255">
        <f t="shared" si="10"/>
        <v>449.18135092570697</v>
      </c>
      <c r="J255">
        <f t="shared" si="11"/>
        <v>449.52901028272765</v>
      </c>
      <c r="K255">
        <f t="shared" si="12"/>
        <v>449.53</v>
      </c>
    </row>
    <row r="256" spans="8:11" x14ac:dyDescent="0.3">
      <c r="H256">
        <v>15.7</v>
      </c>
      <c r="I256">
        <f t="shared" si="10"/>
        <v>448.76894092889199</v>
      </c>
      <c r="J256">
        <f t="shared" si="11"/>
        <v>449.11535502472077</v>
      </c>
      <c r="K256">
        <f t="shared" si="12"/>
        <v>449.12</v>
      </c>
    </row>
    <row r="257" spans="8:11" x14ac:dyDescent="0.3">
      <c r="H257">
        <v>15.75</v>
      </c>
      <c r="I257">
        <f t="shared" si="10"/>
        <v>448.35840720749991</v>
      </c>
      <c r="J257">
        <f t="shared" si="11"/>
        <v>448.70360269845025</v>
      </c>
      <c r="K257">
        <f t="shared" si="12"/>
        <v>448.7</v>
      </c>
    </row>
    <row r="258" spans="8:11" x14ac:dyDescent="0.3">
      <c r="H258">
        <v>15.8</v>
      </c>
      <c r="I258">
        <f t="shared" si="10"/>
        <v>447.94975613763188</v>
      </c>
      <c r="J258">
        <f t="shared" si="11"/>
        <v>448.29375957857621</v>
      </c>
      <c r="K258">
        <f t="shared" si="12"/>
        <v>448.29</v>
      </c>
    </row>
    <row r="259" spans="8:11" x14ac:dyDescent="0.3">
      <c r="H259">
        <v>15.85</v>
      </c>
      <c r="I259">
        <f t="shared" ref="I259:I322" si="13">28.9992*(H259/10)^4 - 173.9035*(H259/10)^3 + 427.7295*(H259/10)^2 - 588.2962*(H259/10) +814.8801</f>
        <v>447.54299453037675</v>
      </c>
      <c r="J259">
        <f t="shared" ref="J259:J322" si="14">0.000000000646*I259^4-0.0000015648*I259^3+0.0013882318*I259^2-0.5311145615*I259+74.3371688691+I259</f>
        <v>447.8858323718224</v>
      </c>
      <c r="K259">
        <f t="shared" ref="K259:K322" si="15">ROUND(J259,2)</f>
        <v>447.89</v>
      </c>
    </row>
    <row r="260" spans="8:11" x14ac:dyDescent="0.3">
      <c r="H260">
        <v>15.9</v>
      </c>
      <c r="I260">
        <f t="shared" si="13"/>
        <v>447.13812963181169</v>
      </c>
      <c r="J260">
        <f t="shared" si="14"/>
        <v>447.47982821688697</v>
      </c>
      <c r="K260">
        <f t="shared" si="15"/>
        <v>447.48</v>
      </c>
    </row>
    <row r="261" spans="8:11" x14ac:dyDescent="0.3">
      <c r="H261">
        <v>15.95</v>
      </c>
      <c r="I261">
        <f t="shared" si="13"/>
        <v>446.73516912300181</v>
      </c>
      <c r="J261">
        <f t="shared" si="14"/>
        <v>447.07575468435141</v>
      </c>
      <c r="K261">
        <f t="shared" si="15"/>
        <v>447.08</v>
      </c>
    </row>
    <row r="262" spans="8:11" x14ac:dyDescent="0.3">
      <c r="H262">
        <v>16</v>
      </c>
      <c r="I262">
        <f t="shared" si="13"/>
        <v>446.33412111999985</v>
      </c>
      <c r="J262">
        <f t="shared" si="14"/>
        <v>446.67361977659004</v>
      </c>
      <c r="K262">
        <f t="shared" si="15"/>
        <v>446.67</v>
      </c>
    </row>
    <row r="263" spans="8:11" x14ac:dyDescent="0.3">
      <c r="H263">
        <v>16.05</v>
      </c>
      <c r="I263">
        <f t="shared" si="13"/>
        <v>445.93499417384692</v>
      </c>
      <c r="J263">
        <f t="shared" si="14"/>
        <v>446.27343192768001</v>
      </c>
      <c r="K263">
        <f t="shared" si="15"/>
        <v>446.27</v>
      </c>
    </row>
    <row r="264" spans="8:11" x14ac:dyDescent="0.3">
      <c r="H264">
        <v>16.100000000000001</v>
      </c>
      <c r="I264">
        <f t="shared" si="13"/>
        <v>445.53779727057167</v>
      </c>
      <c r="J264">
        <f t="shared" si="14"/>
        <v>445.87520000331028</v>
      </c>
      <c r="K264">
        <f t="shared" si="15"/>
        <v>445.88</v>
      </c>
    </row>
    <row r="265" spans="8:11" x14ac:dyDescent="0.3">
      <c r="H265">
        <v>16.149999999999999</v>
      </c>
      <c r="I265">
        <f t="shared" si="13"/>
        <v>445.1425398311917</v>
      </c>
      <c r="J265">
        <f t="shared" si="14"/>
        <v>445.47893330069235</v>
      </c>
      <c r="K265">
        <f t="shared" si="15"/>
        <v>445.48</v>
      </c>
    </row>
    <row r="266" spans="8:11" x14ac:dyDescent="0.3">
      <c r="H266">
        <v>16.2</v>
      </c>
      <c r="I266">
        <f t="shared" si="13"/>
        <v>444.7492317117119</v>
      </c>
      <c r="J266">
        <f t="shared" si="14"/>
        <v>445.08464154846877</v>
      </c>
      <c r="K266">
        <f t="shared" si="15"/>
        <v>445.08</v>
      </c>
    </row>
    <row r="267" spans="8:11" x14ac:dyDescent="0.3">
      <c r="H267">
        <v>16.25</v>
      </c>
      <c r="I267">
        <f t="shared" si="13"/>
        <v>444.35788320312497</v>
      </c>
      <c r="J267">
        <f t="shared" si="14"/>
        <v>444.69233490662378</v>
      </c>
      <c r="K267">
        <f t="shared" si="15"/>
        <v>444.69</v>
      </c>
    </row>
    <row r="268" spans="8:11" x14ac:dyDescent="0.3">
      <c r="H268">
        <v>16.3</v>
      </c>
      <c r="I268">
        <f t="shared" si="13"/>
        <v>443.96850503141195</v>
      </c>
      <c r="J268">
        <f t="shared" si="14"/>
        <v>444.30202396639436</v>
      </c>
      <c r="K268">
        <f t="shared" si="15"/>
        <v>444.3</v>
      </c>
    </row>
    <row r="269" spans="8:11" x14ac:dyDescent="0.3">
      <c r="H269">
        <v>16.350000000000001</v>
      </c>
      <c r="I269">
        <f t="shared" si="13"/>
        <v>443.58110835754167</v>
      </c>
      <c r="J269">
        <f t="shared" si="14"/>
        <v>443.91371975018058</v>
      </c>
      <c r="K269">
        <f t="shared" si="15"/>
        <v>443.91</v>
      </c>
    </row>
    <row r="270" spans="8:11" x14ac:dyDescent="0.3">
      <c r="H270">
        <v>16.399999999999999</v>
      </c>
      <c r="I270">
        <f t="shared" si="13"/>
        <v>443.19570477747186</v>
      </c>
      <c r="J270">
        <f t="shared" si="14"/>
        <v>443.52743371145914</v>
      </c>
      <c r="K270">
        <f t="shared" si="15"/>
        <v>443.53</v>
      </c>
    </row>
    <row r="271" spans="8:11" x14ac:dyDescent="0.3">
      <c r="H271">
        <v>16.45</v>
      </c>
      <c r="I271">
        <f t="shared" si="13"/>
        <v>442.81230632214681</v>
      </c>
      <c r="J271">
        <f t="shared" si="14"/>
        <v>443.1431777346927</v>
      </c>
      <c r="K271">
        <f t="shared" si="15"/>
        <v>443.14</v>
      </c>
    </row>
    <row r="272" spans="8:11" x14ac:dyDescent="0.3">
      <c r="H272">
        <v>16.5</v>
      </c>
      <c r="I272">
        <f t="shared" si="13"/>
        <v>442.43092545749971</v>
      </c>
      <c r="J272">
        <f t="shared" si="14"/>
        <v>442.76096413524533</v>
      </c>
      <c r="K272">
        <f t="shared" si="15"/>
        <v>442.76</v>
      </c>
    </row>
    <row r="273" spans="8:11" x14ac:dyDescent="0.3">
      <c r="H273">
        <v>16.55</v>
      </c>
      <c r="I273">
        <f t="shared" si="13"/>
        <v>442.05157508445177</v>
      </c>
      <c r="J273">
        <f t="shared" si="14"/>
        <v>442.38080565929658</v>
      </c>
      <c r="K273">
        <f t="shared" si="15"/>
        <v>442.38</v>
      </c>
    </row>
    <row r="274" spans="8:11" x14ac:dyDescent="0.3">
      <c r="H274">
        <v>16.600000000000001</v>
      </c>
      <c r="I274">
        <f t="shared" si="13"/>
        <v>441.67426853891175</v>
      </c>
      <c r="J274">
        <f t="shared" si="14"/>
        <v>442.00271548375542</v>
      </c>
      <c r="K274">
        <f t="shared" si="15"/>
        <v>442</v>
      </c>
    </row>
    <row r="275" spans="8:11" x14ac:dyDescent="0.3">
      <c r="H275">
        <v>16.649999999999999</v>
      </c>
      <c r="I275">
        <f t="shared" si="13"/>
        <v>441.29901959177676</v>
      </c>
      <c r="J275">
        <f t="shared" si="14"/>
        <v>441.62670721617746</v>
      </c>
      <c r="K275">
        <f t="shared" si="15"/>
        <v>441.63</v>
      </c>
    </row>
    <row r="276" spans="8:11" x14ac:dyDescent="0.3">
      <c r="H276">
        <v>16.7</v>
      </c>
      <c r="I276">
        <f t="shared" si="13"/>
        <v>440.92584244893192</v>
      </c>
      <c r="J276">
        <f t="shared" si="14"/>
        <v>441.2527948946821</v>
      </c>
      <c r="K276">
        <f t="shared" si="15"/>
        <v>441.25</v>
      </c>
    </row>
    <row r="277" spans="8:11" x14ac:dyDescent="0.3">
      <c r="H277">
        <v>16.75</v>
      </c>
      <c r="I277">
        <f t="shared" si="13"/>
        <v>440.55475175124957</v>
      </c>
      <c r="J277">
        <f t="shared" si="14"/>
        <v>440.88099298787063</v>
      </c>
      <c r="K277">
        <f t="shared" si="15"/>
        <v>440.88</v>
      </c>
    </row>
    <row r="278" spans="8:11" x14ac:dyDescent="0.3">
      <c r="H278">
        <v>16.8</v>
      </c>
      <c r="I278">
        <f t="shared" si="13"/>
        <v>440.18576257459176</v>
      </c>
      <c r="J278">
        <f t="shared" si="14"/>
        <v>440.51131639474886</v>
      </c>
      <c r="K278">
        <f t="shared" si="15"/>
        <v>440.51</v>
      </c>
    </row>
    <row r="279" spans="8:11" x14ac:dyDescent="0.3">
      <c r="H279">
        <v>16.850000000000001</v>
      </c>
      <c r="I279">
        <f t="shared" si="13"/>
        <v>439.81889042980674</v>
      </c>
      <c r="J279">
        <f t="shared" si="14"/>
        <v>440.14378044464553</v>
      </c>
      <c r="K279">
        <f t="shared" si="15"/>
        <v>440.14</v>
      </c>
    </row>
    <row r="280" spans="8:11" x14ac:dyDescent="0.3">
      <c r="H280">
        <v>16.899999999999999</v>
      </c>
      <c r="I280">
        <f t="shared" si="13"/>
        <v>439.4541512627319</v>
      </c>
      <c r="J280">
        <f t="shared" si="14"/>
        <v>439.77840089713902</v>
      </c>
      <c r="K280">
        <f t="shared" si="15"/>
        <v>439.78</v>
      </c>
    </row>
    <row r="281" spans="8:11" x14ac:dyDescent="0.3">
      <c r="H281">
        <v>16.9499999999999</v>
      </c>
      <c r="I281">
        <f t="shared" si="13"/>
        <v>439.09156145419252</v>
      </c>
      <c r="J281">
        <f t="shared" si="14"/>
        <v>439.41519394198065</v>
      </c>
      <c r="K281">
        <f t="shared" si="15"/>
        <v>439.42</v>
      </c>
    </row>
    <row r="282" spans="8:11" x14ac:dyDescent="0.3">
      <c r="H282">
        <v>17</v>
      </c>
      <c r="I282">
        <f t="shared" si="13"/>
        <v>438.73113781999996</v>
      </c>
      <c r="J282">
        <f t="shared" si="14"/>
        <v>439.05417619902141</v>
      </c>
      <c r="K282">
        <f t="shared" si="15"/>
        <v>439.05</v>
      </c>
    </row>
    <row r="283" spans="8:11" x14ac:dyDescent="0.3">
      <c r="H283">
        <v>17.05</v>
      </c>
      <c r="I283">
        <f t="shared" si="13"/>
        <v>438.37289761095701</v>
      </c>
      <c r="J283">
        <f t="shared" si="14"/>
        <v>438.69536471814524</v>
      </c>
      <c r="K283">
        <f t="shared" si="15"/>
        <v>438.7</v>
      </c>
    </row>
    <row r="284" spans="8:11" x14ac:dyDescent="0.3">
      <c r="H284">
        <v>17.099999999999898</v>
      </c>
      <c r="I284">
        <f t="shared" si="13"/>
        <v>438.01685851285276</v>
      </c>
      <c r="J284">
        <f t="shared" si="14"/>
        <v>438.33877697919633</v>
      </c>
      <c r="K284">
        <f t="shared" si="15"/>
        <v>438.34</v>
      </c>
    </row>
    <row r="285" spans="8:11" x14ac:dyDescent="0.3">
      <c r="H285">
        <v>17.149999999999899</v>
      </c>
      <c r="I285">
        <f t="shared" si="13"/>
        <v>437.66303864646238</v>
      </c>
      <c r="J285">
        <f t="shared" si="14"/>
        <v>437.98443089191278</v>
      </c>
      <c r="K285">
        <f t="shared" si="15"/>
        <v>437.98</v>
      </c>
    </row>
    <row r="286" spans="8:11" x14ac:dyDescent="0.3">
      <c r="H286">
        <v>17.1999999999999</v>
      </c>
      <c r="I286">
        <f t="shared" si="13"/>
        <v>437.31145656755257</v>
      </c>
      <c r="J286">
        <f t="shared" si="14"/>
        <v>437.63234479586737</v>
      </c>
      <c r="K286">
        <f t="shared" si="15"/>
        <v>437.63</v>
      </c>
    </row>
    <row r="287" spans="8:11" x14ac:dyDescent="0.3">
      <c r="H287">
        <v>17.25</v>
      </c>
      <c r="I287">
        <f t="shared" si="13"/>
        <v>436.96213126687485</v>
      </c>
      <c r="J287">
        <f t="shared" si="14"/>
        <v>437.28253746040082</v>
      </c>
      <c r="K287">
        <f t="shared" si="15"/>
        <v>437.28</v>
      </c>
    </row>
    <row r="288" spans="8:11" x14ac:dyDescent="0.3">
      <c r="H288">
        <v>17.299999999999901</v>
      </c>
      <c r="I288">
        <f t="shared" si="13"/>
        <v>436.61508217017263</v>
      </c>
      <c r="J288">
        <f t="shared" si="14"/>
        <v>436.93502808456958</v>
      </c>
      <c r="K288">
        <f t="shared" si="15"/>
        <v>436.94</v>
      </c>
    </row>
    <row r="289" spans="8:11" x14ac:dyDescent="0.3">
      <c r="H289">
        <v>17.349999999999898</v>
      </c>
      <c r="I289">
        <f t="shared" si="13"/>
        <v>436.27032913817243</v>
      </c>
      <c r="J289">
        <f t="shared" si="14"/>
        <v>436.58983629708177</v>
      </c>
      <c r="K289">
        <f t="shared" si="15"/>
        <v>436.59</v>
      </c>
    </row>
    <row r="290" spans="8:11" x14ac:dyDescent="0.3">
      <c r="H290">
        <v>17.399999999999899</v>
      </c>
      <c r="I290">
        <f t="shared" si="13"/>
        <v>435.92789246659254</v>
      </c>
      <c r="J290">
        <f t="shared" si="14"/>
        <v>436.24698215625295</v>
      </c>
      <c r="K290">
        <f t="shared" si="15"/>
        <v>436.25</v>
      </c>
    </row>
    <row r="291" spans="8:11" x14ac:dyDescent="0.3">
      <c r="H291">
        <v>17.4499999999999</v>
      </c>
      <c r="I291">
        <f t="shared" si="13"/>
        <v>435.58779288613744</v>
      </c>
      <c r="J291">
        <f t="shared" si="14"/>
        <v>435.90648614995132</v>
      </c>
      <c r="K291">
        <f t="shared" si="15"/>
        <v>435.91</v>
      </c>
    </row>
    <row r="292" spans="8:11" x14ac:dyDescent="0.3">
      <c r="H292">
        <v>17.499999999999901</v>
      </c>
      <c r="I292">
        <f t="shared" si="13"/>
        <v>435.2500515625004</v>
      </c>
      <c r="J292">
        <f t="shared" si="14"/>
        <v>435.56836919555366</v>
      </c>
      <c r="K292">
        <f t="shared" si="15"/>
        <v>435.57</v>
      </c>
    </row>
    <row r="293" spans="8:11" x14ac:dyDescent="0.3">
      <c r="H293">
        <v>17.549999999999901</v>
      </c>
      <c r="I293">
        <f t="shared" si="13"/>
        <v>434.91469009636251</v>
      </c>
      <c r="J293">
        <f t="shared" si="14"/>
        <v>435.23265263990163</v>
      </c>
      <c r="K293">
        <f t="shared" si="15"/>
        <v>435.23</v>
      </c>
    </row>
    <row r="294" spans="8:11" x14ac:dyDescent="0.3">
      <c r="H294">
        <v>17.599999999999898</v>
      </c>
      <c r="I294">
        <f t="shared" si="13"/>
        <v>434.58173052339248</v>
      </c>
      <c r="J294">
        <f t="shared" si="14"/>
        <v>434.89935825926256</v>
      </c>
      <c r="K294">
        <f t="shared" si="15"/>
        <v>434.9</v>
      </c>
    </row>
    <row r="295" spans="8:11" x14ac:dyDescent="0.3">
      <c r="H295">
        <v>17.649999999999899</v>
      </c>
      <c r="I295">
        <f t="shared" si="13"/>
        <v>434.25119531424741</v>
      </c>
      <c r="J295">
        <f t="shared" si="14"/>
        <v>434.56850825929359</v>
      </c>
      <c r="K295">
        <f t="shared" si="15"/>
        <v>434.57</v>
      </c>
    </row>
    <row r="296" spans="8:11" x14ac:dyDescent="0.3">
      <c r="H296">
        <v>17.6999999999999</v>
      </c>
      <c r="I296">
        <f t="shared" si="13"/>
        <v>433.92310737457251</v>
      </c>
      <c r="J296">
        <f t="shared" si="14"/>
        <v>434.24012527501077</v>
      </c>
      <c r="K296">
        <f t="shared" si="15"/>
        <v>434.24</v>
      </c>
    </row>
    <row r="297" spans="8:11" x14ac:dyDescent="0.3">
      <c r="H297">
        <v>17.749999999999901</v>
      </c>
      <c r="I297">
        <f t="shared" si="13"/>
        <v>433.59749004500054</v>
      </c>
      <c r="J297">
        <f t="shared" si="14"/>
        <v>433.91423237075981</v>
      </c>
      <c r="K297">
        <f t="shared" si="15"/>
        <v>433.91</v>
      </c>
    </row>
    <row r="298" spans="8:11" x14ac:dyDescent="0.3">
      <c r="H298">
        <v>17.799999999999901</v>
      </c>
      <c r="I298">
        <f t="shared" si="13"/>
        <v>433.27436710115251</v>
      </c>
      <c r="J298">
        <f t="shared" si="14"/>
        <v>433.59085304019334</v>
      </c>
      <c r="K298">
        <f t="shared" si="15"/>
        <v>433.59</v>
      </c>
    </row>
    <row r="299" spans="8:11" x14ac:dyDescent="0.3">
      <c r="H299">
        <v>17.849999999999898</v>
      </c>
      <c r="I299">
        <f t="shared" si="13"/>
        <v>432.95376275363731</v>
      </c>
      <c r="J299">
        <f t="shared" si="14"/>
        <v>433.27001120625135</v>
      </c>
      <c r="K299">
        <f t="shared" si="15"/>
        <v>433.27</v>
      </c>
    </row>
    <row r="300" spans="8:11" x14ac:dyDescent="0.3">
      <c r="H300">
        <v>17.899999999999899</v>
      </c>
      <c r="I300">
        <f t="shared" si="13"/>
        <v>432.63570164805253</v>
      </c>
      <c r="J300">
        <f t="shared" si="14"/>
        <v>432.9517312211467</v>
      </c>
      <c r="K300">
        <f t="shared" si="15"/>
        <v>432.95</v>
      </c>
    </row>
    <row r="301" spans="8:11" x14ac:dyDescent="0.3">
      <c r="H301">
        <v>17.9499999999999</v>
      </c>
      <c r="I301">
        <f t="shared" si="13"/>
        <v>432.32020886498265</v>
      </c>
      <c r="J301">
        <f t="shared" si="14"/>
        <v>432.63603786635315</v>
      </c>
      <c r="K301">
        <f t="shared" si="15"/>
        <v>432.64</v>
      </c>
    </row>
    <row r="302" spans="8:11" x14ac:dyDescent="0.3">
      <c r="H302">
        <v>17.999999999999901</v>
      </c>
      <c r="I302">
        <f t="shared" si="13"/>
        <v>432.00730992000047</v>
      </c>
      <c r="J302">
        <f t="shared" si="14"/>
        <v>432.3229563526013</v>
      </c>
      <c r="K302">
        <f t="shared" si="15"/>
        <v>432.32</v>
      </c>
    </row>
    <row r="303" spans="8:11" x14ac:dyDescent="0.3">
      <c r="H303">
        <v>18.049999999999901</v>
      </c>
      <c r="I303">
        <f t="shared" si="13"/>
        <v>431.69703076366761</v>
      </c>
      <c r="J303">
        <f t="shared" si="14"/>
        <v>432.01251231987806</v>
      </c>
      <c r="K303">
        <f t="shared" si="15"/>
        <v>432.01</v>
      </c>
    </row>
    <row r="304" spans="8:11" x14ac:dyDescent="0.3">
      <c r="H304">
        <v>18.099999999999898</v>
      </c>
      <c r="I304">
        <f t="shared" si="13"/>
        <v>431.38939778153224</v>
      </c>
      <c r="J304">
        <f t="shared" si="14"/>
        <v>431.70473183742922</v>
      </c>
      <c r="K304">
        <f t="shared" si="15"/>
        <v>431.7</v>
      </c>
    </row>
    <row r="305" spans="8:11" x14ac:dyDescent="0.3">
      <c r="H305">
        <v>18.149999999999899</v>
      </c>
      <c r="I305">
        <f t="shared" si="13"/>
        <v>431.08443779413255</v>
      </c>
      <c r="J305">
        <f t="shared" si="14"/>
        <v>431.39964140377214</v>
      </c>
      <c r="K305">
        <f t="shared" si="15"/>
        <v>431.4</v>
      </c>
    </row>
    <row r="306" spans="8:11" x14ac:dyDescent="0.3">
      <c r="H306">
        <v>18.1999999999999</v>
      </c>
      <c r="I306">
        <f t="shared" si="13"/>
        <v>430.78217805699251</v>
      </c>
      <c r="J306">
        <f t="shared" si="14"/>
        <v>431.09726794670706</v>
      </c>
      <c r="K306">
        <f t="shared" si="15"/>
        <v>431.1</v>
      </c>
    </row>
    <row r="307" spans="8:11" x14ac:dyDescent="0.3">
      <c r="H307">
        <v>18.249999999999901</v>
      </c>
      <c r="I307">
        <f t="shared" si="13"/>
        <v>430.48264626062553</v>
      </c>
      <c r="J307">
        <f t="shared" si="14"/>
        <v>430.797638823341</v>
      </c>
      <c r="K307">
        <f t="shared" si="15"/>
        <v>430.8</v>
      </c>
    </row>
    <row r="308" spans="8:11" x14ac:dyDescent="0.3">
      <c r="H308">
        <v>18.299999999999901</v>
      </c>
      <c r="I308">
        <f t="shared" si="13"/>
        <v>430.18587053053227</v>
      </c>
      <c r="J308">
        <f t="shared" si="14"/>
        <v>430.50078182011197</v>
      </c>
      <c r="K308">
        <f t="shared" si="15"/>
        <v>430.5</v>
      </c>
    </row>
    <row r="309" spans="8:11" x14ac:dyDescent="0.3">
      <c r="H309">
        <v>18.349999999999898</v>
      </c>
      <c r="I309">
        <f t="shared" si="13"/>
        <v>429.89187942720241</v>
      </c>
      <c r="J309">
        <f t="shared" si="14"/>
        <v>430.20672515282286</v>
      </c>
      <c r="K309">
        <f t="shared" si="15"/>
        <v>430.21</v>
      </c>
    </row>
    <row r="310" spans="8:11" x14ac:dyDescent="0.3">
      <c r="H310">
        <v>18.399999999999899</v>
      </c>
      <c r="I310">
        <f t="shared" si="13"/>
        <v>429.60070194611239</v>
      </c>
      <c r="J310">
        <f t="shared" si="14"/>
        <v>429.91549746667818</v>
      </c>
      <c r="K310">
        <f t="shared" si="15"/>
        <v>429.92</v>
      </c>
    </row>
    <row r="311" spans="8:11" x14ac:dyDescent="0.3">
      <c r="H311">
        <v>18.4499999999999</v>
      </c>
      <c r="I311">
        <f t="shared" si="13"/>
        <v>429.31236751772747</v>
      </c>
      <c r="J311">
        <f t="shared" si="14"/>
        <v>429.62712783632958</v>
      </c>
      <c r="K311">
        <f t="shared" si="15"/>
        <v>429.63</v>
      </c>
    </row>
    <row r="312" spans="8:11" x14ac:dyDescent="0.3">
      <c r="H312">
        <v>18.499999999999901</v>
      </c>
      <c r="I312">
        <f t="shared" si="13"/>
        <v>429.02690600750054</v>
      </c>
      <c r="J312">
        <f t="shared" si="14"/>
        <v>429.3416457659265</v>
      </c>
      <c r="K312">
        <f t="shared" si="15"/>
        <v>429.34</v>
      </c>
    </row>
    <row r="313" spans="8:11" x14ac:dyDescent="0.3">
      <c r="H313">
        <v>18.549999999999901</v>
      </c>
      <c r="I313">
        <f t="shared" si="13"/>
        <v>428.74434771587244</v>
      </c>
      <c r="J313">
        <f t="shared" si="14"/>
        <v>429.05908118917347</v>
      </c>
      <c r="K313">
        <f t="shared" si="15"/>
        <v>429.06</v>
      </c>
    </row>
    <row r="314" spans="8:11" x14ac:dyDescent="0.3">
      <c r="H314">
        <v>18.599999999999898</v>
      </c>
      <c r="I314">
        <f t="shared" si="13"/>
        <v>428.4647233782722</v>
      </c>
      <c r="J314">
        <f t="shared" si="14"/>
        <v>428.77946446939484</v>
      </c>
      <c r="K314">
        <f t="shared" si="15"/>
        <v>428.78</v>
      </c>
    </row>
    <row r="315" spans="8:11" x14ac:dyDescent="0.3">
      <c r="H315">
        <v>18.649999999999899</v>
      </c>
      <c r="I315">
        <f t="shared" si="13"/>
        <v>428.18806416511745</v>
      </c>
      <c r="J315">
        <f t="shared" si="14"/>
        <v>428.50282639960608</v>
      </c>
      <c r="K315">
        <f t="shared" si="15"/>
        <v>428.5</v>
      </c>
    </row>
    <row r="316" spans="8:11" x14ac:dyDescent="0.3">
      <c r="H316">
        <v>18.6999999999999</v>
      </c>
      <c r="I316">
        <f t="shared" si="13"/>
        <v>427.91440168181236</v>
      </c>
      <c r="J316">
        <f t="shared" si="14"/>
        <v>428.22919820259006</v>
      </c>
      <c r="K316">
        <f t="shared" si="15"/>
        <v>428.23</v>
      </c>
    </row>
    <row r="317" spans="8:11" x14ac:dyDescent="0.3">
      <c r="H317">
        <v>18.749999999999901</v>
      </c>
      <c r="I317">
        <f t="shared" si="13"/>
        <v>427.64376796875035</v>
      </c>
      <c r="J317">
        <f t="shared" si="14"/>
        <v>427.95861153098514</v>
      </c>
      <c r="K317">
        <f t="shared" si="15"/>
        <v>427.96</v>
      </c>
    </row>
    <row r="318" spans="8:11" x14ac:dyDescent="0.3">
      <c r="H318">
        <v>18.799999999999901</v>
      </c>
      <c r="I318">
        <f t="shared" si="13"/>
        <v>427.37619550131205</v>
      </c>
      <c r="J318">
        <f t="shared" si="14"/>
        <v>427.69109846737609</v>
      </c>
      <c r="K318">
        <f t="shared" si="15"/>
        <v>427.69</v>
      </c>
    </row>
    <row r="319" spans="8:11" x14ac:dyDescent="0.3">
      <c r="H319">
        <v>18.849999999999898</v>
      </c>
      <c r="I319">
        <f t="shared" si="13"/>
        <v>427.11171718986748</v>
      </c>
      <c r="J319">
        <f t="shared" si="14"/>
        <v>427.42669152439635</v>
      </c>
      <c r="K319">
        <f t="shared" si="15"/>
        <v>427.43</v>
      </c>
    </row>
    <row r="320" spans="8:11" x14ac:dyDescent="0.3">
      <c r="H320">
        <v>18.899999999999899</v>
      </c>
      <c r="I320">
        <f t="shared" si="13"/>
        <v>426.85036637977225</v>
      </c>
      <c r="J320">
        <f t="shared" si="14"/>
        <v>427.16542364483246</v>
      </c>
      <c r="K320">
        <f t="shared" si="15"/>
        <v>427.17</v>
      </c>
    </row>
    <row r="321" spans="8:11" x14ac:dyDescent="0.3">
      <c r="H321">
        <v>18.9499999999999</v>
      </c>
      <c r="I321">
        <f t="shared" si="13"/>
        <v>426.5921768513723</v>
      </c>
      <c r="J321">
        <f t="shared" si="14"/>
        <v>426.90732820174497</v>
      </c>
      <c r="K321">
        <f t="shared" si="15"/>
        <v>426.91</v>
      </c>
    </row>
    <row r="322" spans="8:11" x14ac:dyDescent="0.3">
      <c r="H322">
        <v>18.999999999999901</v>
      </c>
      <c r="I322">
        <f t="shared" si="13"/>
        <v>426.33718282000029</v>
      </c>
      <c r="J322">
        <f t="shared" si="14"/>
        <v>426.65243899858899</v>
      </c>
      <c r="K322">
        <f t="shared" si="15"/>
        <v>426.65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82"/>
  <sheetViews>
    <sheetView topLeftCell="E258" workbookViewId="0">
      <selection activeCell="N2" sqref="N2:N282"/>
    </sheetView>
  </sheetViews>
  <sheetFormatPr defaultRowHeight="14.4" x14ac:dyDescent="0.3"/>
  <cols>
    <col min="1" max="1" width="11.109375" customWidth="1"/>
    <col min="2" max="2" width="15.88671875" customWidth="1"/>
    <col min="3" max="3" width="10.109375" customWidth="1"/>
    <col min="6" max="6" width="13" customWidth="1"/>
  </cols>
  <sheetData>
    <row r="1" spans="1:17" x14ac:dyDescent="0.3">
      <c r="A1" t="s">
        <v>2</v>
      </c>
      <c r="B1" t="s">
        <v>3</v>
      </c>
      <c r="C1" t="s">
        <v>6</v>
      </c>
      <c r="E1" t="s">
        <v>12</v>
      </c>
      <c r="F1" t="s">
        <v>16</v>
      </c>
      <c r="G1" t="s">
        <v>17</v>
      </c>
      <c r="J1" t="s">
        <v>25</v>
      </c>
      <c r="K1" t="s">
        <v>23</v>
      </c>
      <c r="L1" t="s">
        <v>26</v>
      </c>
    </row>
    <row r="2" spans="1:17" x14ac:dyDescent="0.3">
      <c r="A2">
        <v>17.3</v>
      </c>
      <c r="B2">
        <v>557.32000000000005</v>
      </c>
      <c r="C2">
        <v>16.25</v>
      </c>
      <c r="E2">
        <v>555.16</v>
      </c>
      <c r="F2">
        <v>562.34</v>
      </c>
      <c r="G2">
        <v>548.69000000000005</v>
      </c>
      <c r="J2">
        <v>4.5</v>
      </c>
      <c r="K2">
        <f>0.00191593*J2^4-0.05777151*J2^3+0.98154584*J2^2-0.94698723*J2+401.77573785</f>
        <v>412.911820771875</v>
      </c>
      <c r="L2">
        <f>3.7*(0.000000000646*K2^4-0.0000015648*K2^3+0.0013882318*K2^2-0.5311145615*K2+74.3371688691)+K2</f>
        <v>414.1649894207826</v>
      </c>
      <c r="N2">
        <v>4.5</v>
      </c>
      <c r="O2">
        <f>0.00191593*N2^4-0.05777151*N2^3+0.98154584*N2^2-0.94698723*N2+401.77573785</f>
        <v>412.911820771875</v>
      </c>
      <c r="P2">
        <f>3.7*(0.000000000646*O2^4-0.0000015648*O2^3+0.0013882318*O2^2-0.5311145615*O2+74.3371688691)+O2</f>
        <v>414.1649894207826</v>
      </c>
      <c r="Q2">
        <f>ROUND(P2,2)</f>
        <v>414.16</v>
      </c>
    </row>
    <row r="3" spans="1:17" x14ac:dyDescent="0.3">
      <c r="A3">
        <v>16.399999999999999</v>
      </c>
      <c r="B3">
        <v>539.69000000000005</v>
      </c>
      <c r="C3">
        <v>16.260000000000002</v>
      </c>
      <c r="J3">
        <v>4.5999999999999996</v>
      </c>
      <c r="K3">
        <f t="shared" ref="K3:K66" si="0">0.00191593*J3^4-0.05777151*J3^3+0.98154584*J3^2-0.94698723*J3+401.77573785</f>
        <v>413.42370809644797</v>
      </c>
      <c r="L3">
        <f t="shared" ref="L3:L66" si="1">3.7*(0.000000000646*K3^4-0.0000015648*K3^3+0.0013882318*K3^2-0.5311145615*K3+74.3371688691)+K3</f>
        <v>414.67102943014982</v>
      </c>
      <c r="N3">
        <v>4.55</v>
      </c>
      <c r="O3">
        <f t="shared" ref="O3:O66" si="2">0.00191593*N3^4-0.05777151*N3^3+0.98154584*N3^2-0.94698723*N3+401.77573785</f>
        <v>413.16668704225327</v>
      </c>
      <c r="P3">
        <f t="shared" ref="P3:P66" si="3">3.7*(0.000000000646*O3^4-0.0000015648*O3^3+0.0013882318*O3^2-0.5311145615*O3+74.3371688691)+O3</f>
        <v>414.41691760209108</v>
      </c>
      <c r="Q3">
        <f t="shared" ref="Q3:Q66" si="4">ROUND(P3,2)</f>
        <v>414.42</v>
      </c>
    </row>
    <row r="4" spans="1:17" x14ac:dyDescent="0.3">
      <c r="J4">
        <v>4.7</v>
      </c>
      <c r="K4">
        <f t="shared" si="0"/>
        <v>413.94414671370299</v>
      </c>
      <c r="L4">
        <f t="shared" si="1"/>
        <v>415.1857415851814</v>
      </c>
      <c r="N4">
        <v>4.5999999999999996</v>
      </c>
      <c r="O4">
        <f t="shared" si="2"/>
        <v>413.42370809644797</v>
      </c>
      <c r="P4">
        <f t="shared" si="3"/>
        <v>414.67102943014982</v>
      </c>
      <c r="Q4">
        <f t="shared" si="4"/>
        <v>414.67</v>
      </c>
    </row>
    <row r="5" spans="1:17" x14ac:dyDescent="0.3">
      <c r="J5">
        <v>4.8</v>
      </c>
      <c r="K5">
        <f t="shared" si="0"/>
        <v>414.47300381236801</v>
      </c>
      <c r="L5">
        <f t="shared" si="1"/>
        <v>415.70900372274423</v>
      </c>
      <c r="N5">
        <v>4.6500000000000004</v>
      </c>
      <c r="O5">
        <f t="shared" si="2"/>
        <v>413.68286690196578</v>
      </c>
      <c r="P5">
        <f t="shared" si="3"/>
        <v>414.92730922663094</v>
      </c>
      <c r="Q5">
        <f t="shared" si="4"/>
        <v>414.93</v>
      </c>
    </row>
    <row r="6" spans="1:17" x14ac:dyDescent="0.3">
      <c r="A6">
        <v>4.5</v>
      </c>
      <c r="B6">
        <v>412.86</v>
      </c>
      <c r="C6">
        <v>15.29</v>
      </c>
      <c r="J6">
        <v>4.9000000000000004</v>
      </c>
      <c r="K6">
        <f t="shared" si="0"/>
        <v>415.01015117940301</v>
      </c>
      <c r="L6">
        <f t="shared" si="1"/>
        <v>416.24069803040686</v>
      </c>
      <c r="N6">
        <v>4.7</v>
      </c>
      <c r="O6">
        <f t="shared" si="2"/>
        <v>413.94414671370299</v>
      </c>
      <c r="P6">
        <f t="shared" si="3"/>
        <v>415.1857415851814</v>
      </c>
      <c r="Q6">
        <f t="shared" si="4"/>
        <v>415.19</v>
      </c>
    </row>
    <row r="7" spans="1:17" x14ac:dyDescent="0.3">
      <c r="A7">
        <v>5</v>
      </c>
      <c r="B7">
        <v>415.47</v>
      </c>
      <c r="C7">
        <v>15.29</v>
      </c>
      <c r="J7">
        <v>5</v>
      </c>
      <c r="K7">
        <f t="shared" si="0"/>
        <v>415.55546519999996</v>
      </c>
      <c r="L7">
        <f t="shared" si="1"/>
        <v>416.7807110461668</v>
      </c>
      <c r="N7">
        <v>4.75</v>
      </c>
      <c r="O7">
        <f t="shared" si="2"/>
        <v>414.20753107394529</v>
      </c>
      <c r="P7">
        <f t="shared" si="3"/>
        <v>415.44631137138651</v>
      </c>
      <c r="Q7">
        <f t="shared" si="4"/>
        <v>415.45</v>
      </c>
    </row>
    <row r="8" spans="1:17" x14ac:dyDescent="0.3">
      <c r="A8">
        <v>5.5</v>
      </c>
      <c r="B8">
        <v>418.46</v>
      </c>
      <c r="C8">
        <v>15.3</v>
      </c>
      <c r="J8">
        <v>5.0999999999999996</v>
      </c>
      <c r="K8">
        <f t="shared" si="0"/>
        <v>416.10882685758298</v>
      </c>
      <c r="L8">
        <f t="shared" si="1"/>
        <v>417.32893365885042</v>
      </c>
      <c r="N8">
        <v>4.8</v>
      </c>
      <c r="O8">
        <f t="shared" si="2"/>
        <v>414.47300381236801</v>
      </c>
      <c r="P8">
        <f t="shared" si="3"/>
        <v>415.70900372274423</v>
      </c>
      <c r="Q8">
        <f t="shared" si="4"/>
        <v>415.71</v>
      </c>
    </row>
    <row r="9" spans="1:17" x14ac:dyDescent="0.3">
      <c r="A9">
        <v>6</v>
      </c>
      <c r="B9">
        <v>421.45</v>
      </c>
      <c r="C9">
        <v>15.3</v>
      </c>
      <c r="J9">
        <v>5.2</v>
      </c>
      <c r="K9">
        <f t="shared" si="0"/>
        <v>416.670121733808</v>
      </c>
      <c r="L9">
        <f t="shared" si="1"/>
        <v>417.88526110914711</v>
      </c>
      <c r="N9">
        <v>4.8499999999999996</v>
      </c>
      <c r="O9">
        <f t="shared" si="2"/>
        <v>414.74054904603577</v>
      </c>
      <c r="P9">
        <f t="shared" si="3"/>
        <v>415.97380404865282</v>
      </c>
      <c r="Q9">
        <f t="shared" si="4"/>
        <v>415.97</v>
      </c>
    </row>
    <row r="10" spans="1:17" x14ac:dyDescent="0.3">
      <c r="A10">
        <v>6.5</v>
      </c>
      <c r="B10">
        <v>424.81</v>
      </c>
      <c r="C10">
        <v>15.3</v>
      </c>
      <c r="J10">
        <v>5.3</v>
      </c>
      <c r="K10">
        <f t="shared" si="0"/>
        <v>417.239240008563</v>
      </c>
      <c r="L10">
        <f t="shared" si="1"/>
        <v>418.44959299124451</v>
      </c>
      <c r="N10">
        <v>4.9000000000000004</v>
      </c>
      <c r="O10">
        <f t="shared" si="2"/>
        <v>415.01015117940301</v>
      </c>
      <c r="P10">
        <f t="shared" si="3"/>
        <v>416.24069803040686</v>
      </c>
      <c r="Q10">
        <f t="shared" si="4"/>
        <v>416.24</v>
      </c>
    </row>
    <row r="11" spans="1:17" x14ac:dyDescent="0.3">
      <c r="A11">
        <v>7</v>
      </c>
      <c r="B11">
        <v>428.17</v>
      </c>
      <c r="C11">
        <v>15.31</v>
      </c>
      <c r="J11">
        <v>5.4</v>
      </c>
      <c r="K11">
        <f t="shared" si="0"/>
        <v>417.81607645996797</v>
      </c>
      <c r="L11">
        <f t="shared" si="1"/>
        <v>419.02183325502864</v>
      </c>
      <c r="N11">
        <v>4.95</v>
      </c>
      <c r="O11">
        <f t="shared" si="2"/>
        <v>415.2817949043133</v>
      </c>
      <c r="P11">
        <f t="shared" si="3"/>
        <v>416.5096716212048</v>
      </c>
      <c r="Q11">
        <f t="shared" si="4"/>
        <v>416.51</v>
      </c>
    </row>
    <row r="12" spans="1:17" x14ac:dyDescent="0.3">
      <c r="A12">
        <v>7.5</v>
      </c>
      <c r="B12">
        <v>431.52</v>
      </c>
      <c r="C12">
        <v>15.31</v>
      </c>
      <c r="J12">
        <v>5.5</v>
      </c>
      <c r="K12">
        <f t="shared" si="0"/>
        <v>418.40053046437498</v>
      </c>
      <c r="L12">
        <f t="shared" si="1"/>
        <v>419.60189020881359</v>
      </c>
      <c r="N12">
        <v>5</v>
      </c>
      <c r="O12">
        <f t="shared" si="2"/>
        <v>415.55546519999996</v>
      </c>
      <c r="P12">
        <f t="shared" si="3"/>
        <v>416.7807110461668</v>
      </c>
      <c r="Q12">
        <f t="shared" si="4"/>
        <v>416.78</v>
      </c>
    </row>
    <row r="13" spans="1:17" x14ac:dyDescent="0.3">
      <c r="A13">
        <v>8</v>
      </c>
      <c r="B13">
        <v>435.24</v>
      </c>
      <c r="C13">
        <v>15.31</v>
      </c>
      <c r="J13">
        <v>5.6</v>
      </c>
      <c r="K13">
        <f t="shared" si="0"/>
        <v>418.99250599636798</v>
      </c>
      <c r="L13">
        <f t="shared" si="1"/>
        <v>420.18967652256953</v>
      </c>
      <c r="N13">
        <v>5.05</v>
      </c>
      <c r="O13">
        <f t="shared" si="2"/>
        <v>415.83114733308582</v>
      </c>
      <c r="P13">
        <f t="shared" si="3"/>
        <v>417.05380280236324</v>
      </c>
      <c r="Q13">
        <f t="shared" si="4"/>
        <v>417.05</v>
      </c>
    </row>
    <row r="14" spans="1:17" x14ac:dyDescent="0.3">
      <c r="A14">
        <v>8.5</v>
      </c>
      <c r="B14">
        <v>438.96</v>
      </c>
      <c r="C14">
        <v>15.33</v>
      </c>
      <c r="J14">
        <v>5.7</v>
      </c>
      <c r="K14">
        <f t="shared" si="0"/>
        <v>419.591911628763</v>
      </c>
      <c r="L14">
        <f t="shared" si="1"/>
        <v>420.78510923161451</v>
      </c>
      <c r="N14">
        <v>5.0999999999999996</v>
      </c>
      <c r="O14">
        <f t="shared" si="2"/>
        <v>416.10882685758298</v>
      </c>
      <c r="P14">
        <f t="shared" si="3"/>
        <v>417.32893365885042</v>
      </c>
      <c r="Q14">
        <f t="shared" si="4"/>
        <v>417.33</v>
      </c>
    </row>
    <row r="15" spans="1:17" x14ac:dyDescent="0.3">
      <c r="A15">
        <v>9</v>
      </c>
      <c r="B15">
        <v>443.41</v>
      </c>
      <c r="C15">
        <v>15.33</v>
      </c>
      <c r="J15">
        <v>5.8</v>
      </c>
      <c r="K15">
        <f t="shared" si="0"/>
        <v>420.19866053260796</v>
      </c>
      <c r="L15">
        <f t="shared" si="1"/>
        <v>421.38810974073715</v>
      </c>
      <c r="N15">
        <v>5.15</v>
      </c>
      <c r="O15">
        <f t="shared" si="2"/>
        <v>416.38848961489327</v>
      </c>
      <c r="P15">
        <f t="shared" si="3"/>
        <v>417.60609065671844</v>
      </c>
      <c r="Q15">
        <f t="shared" si="4"/>
        <v>417.61</v>
      </c>
    </row>
    <row r="16" spans="1:17" x14ac:dyDescent="0.3">
      <c r="A16">
        <v>9.5</v>
      </c>
      <c r="B16">
        <v>447.49</v>
      </c>
      <c r="C16">
        <v>15.33</v>
      </c>
      <c r="J16">
        <v>5.9</v>
      </c>
      <c r="K16">
        <f t="shared" si="0"/>
        <v>420.81267047718296</v>
      </c>
      <c r="L16">
        <f t="shared" si="1"/>
        <v>421.99860382872129</v>
      </c>
      <c r="N16">
        <v>5.2</v>
      </c>
      <c r="O16">
        <f t="shared" si="2"/>
        <v>416.670121733808</v>
      </c>
      <c r="P16">
        <f t="shared" si="3"/>
        <v>417.88526110914711</v>
      </c>
      <c r="Q16">
        <f t="shared" si="4"/>
        <v>417.89</v>
      </c>
    </row>
    <row r="17" spans="1:17" x14ac:dyDescent="0.3">
      <c r="A17">
        <v>10</v>
      </c>
      <c r="B17">
        <v>451.57</v>
      </c>
      <c r="C17">
        <v>15.34</v>
      </c>
      <c r="J17">
        <v>5.9999999999999902</v>
      </c>
      <c r="K17">
        <f t="shared" si="0"/>
        <v>421.43386382999995</v>
      </c>
      <c r="L17">
        <f t="shared" si="1"/>
        <v>422.61652165323852</v>
      </c>
      <c r="N17">
        <v>5.25</v>
      </c>
      <c r="O17">
        <f t="shared" si="2"/>
        <v>416.95370963050777</v>
      </c>
      <c r="P17">
        <f t="shared" si="3"/>
        <v>418.16643260146901</v>
      </c>
      <c r="Q17">
        <f t="shared" si="4"/>
        <v>418.17</v>
      </c>
    </row>
    <row r="18" spans="1:17" x14ac:dyDescent="0.3">
      <c r="A18">
        <v>10.5</v>
      </c>
      <c r="B18">
        <v>456.38</v>
      </c>
      <c r="C18">
        <v>15.34</v>
      </c>
      <c r="J18">
        <v>6.0999999999999899</v>
      </c>
      <c r="K18">
        <f t="shared" si="0"/>
        <v>422.06216755680293</v>
      </c>
      <c r="L18">
        <f t="shared" si="1"/>
        <v>423.24179775608172</v>
      </c>
      <c r="N18">
        <v>5.3</v>
      </c>
      <c r="O18">
        <f t="shared" si="2"/>
        <v>417.239240008563</v>
      </c>
      <c r="P18">
        <f t="shared" si="3"/>
        <v>418.44959299124451</v>
      </c>
      <c r="Q18">
        <f t="shared" si="4"/>
        <v>418.45</v>
      </c>
    </row>
    <row r="19" spans="1:17" x14ac:dyDescent="0.3">
      <c r="A19">
        <v>11</v>
      </c>
      <c r="B19">
        <v>461.18</v>
      </c>
      <c r="C19">
        <v>15.35</v>
      </c>
      <c r="J19">
        <v>6.1999999999999904</v>
      </c>
      <c r="K19">
        <f t="shared" si="0"/>
        <v>422.69751322156793</v>
      </c>
      <c r="L19">
        <f t="shared" si="1"/>
        <v>423.87437106870919</v>
      </c>
      <c r="N19">
        <v>5.35</v>
      </c>
      <c r="O19">
        <f t="shared" si="2"/>
        <v>417.52669985893328</v>
      </c>
      <c r="P19">
        <f t="shared" si="3"/>
        <v>418.73473040834239</v>
      </c>
      <c r="Q19">
        <f t="shared" si="4"/>
        <v>418.73</v>
      </c>
    </row>
    <row r="20" spans="1:17" x14ac:dyDescent="0.3">
      <c r="A20">
        <v>11.5</v>
      </c>
      <c r="B20">
        <v>466.35</v>
      </c>
      <c r="C20">
        <v>15.35</v>
      </c>
      <c r="J20">
        <v>6.2999999999999901</v>
      </c>
      <c r="K20">
        <f t="shared" si="0"/>
        <v>423.33983698650292</v>
      </c>
      <c r="L20">
        <f t="shared" si="1"/>
        <v>424.51418491806959</v>
      </c>
      <c r="N20">
        <v>5.4</v>
      </c>
      <c r="O20">
        <f t="shared" si="2"/>
        <v>417.81607645996797</v>
      </c>
      <c r="P20">
        <f t="shared" si="3"/>
        <v>419.02183325502864</v>
      </c>
      <c r="Q20">
        <f t="shared" si="4"/>
        <v>419.02</v>
      </c>
    </row>
    <row r="21" spans="1:17" x14ac:dyDescent="0.3">
      <c r="A21">
        <v>12</v>
      </c>
      <c r="B21">
        <v>471.88</v>
      </c>
      <c r="C21">
        <v>15.35</v>
      </c>
      <c r="J21">
        <v>6.3999999999999897</v>
      </c>
      <c r="K21">
        <f t="shared" si="0"/>
        <v>423.98907961204793</v>
      </c>
      <c r="L21">
        <f t="shared" si="1"/>
        <v>425.16118703268251</v>
      </c>
      <c r="N21">
        <v>5.45</v>
      </c>
      <c r="O21">
        <f t="shared" si="2"/>
        <v>418.10735737740578</v>
      </c>
      <c r="P21">
        <f t="shared" si="3"/>
        <v>419.31089020606521</v>
      </c>
      <c r="Q21">
        <f t="shared" si="4"/>
        <v>419.31</v>
      </c>
    </row>
    <row r="22" spans="1:17" x14ac:dyDescent="0.3">
      <c r="A22">
        <v>12.5</v>
      </c>
      <c r="B22">
        <v>477.03</v>
      </c>
      <c r="C22">
        <v>15.36</v>
      </c>
      <c r="J22">
        <v>6.4999999999999902</v>
      </c>
      <c r="K22">
        <f t="shared" si="0"/>
        <v>424.64518645687491</v>
      </c>
      <c r="L22">
        <f t="shared" si="1"/>
        <v>425.81532954894618</v>
      </c>
      <c r="N22">
        <v>5.5</v>
      </c>
      <c r="O22">
        <f t="shared" si="2"/>
        <v>418.40053046437498</v>
      </c>
      <c r="P22">
        <f t="shared" si="3"/>
        <v>419.60189020881359</v>
      </c>
      <c r="Q22">
        <f t="shared" si="4"/>
        <v>419.6</v>
      </c>
    </row>
    <row r="23" spans="1:17" x14ac:dyDescent="0.3">
      <c r="A23">
        <v>13</v>
      </c>
      <c r="B23">
        <v>483.28</v>
      </c>
      <c r="C23">
        <v>15.37</v>
      </c>
      <c r="J23">
        <v>6.5999999999999899</v>
      </c>
      <c r="K23">
        <f t="shared" si="0"/>
        <v>425.30810747788792</v>
      </c>
      <c r="L23">
        <f t="shared" si="1"/>
        <v>426.47656901764623</v>
      </c>
      <c r="N23">
        <v>5.55</v>
      </c>
      <c r="O23">
        <f t="shared" si="2"/>
        <v>418.69558386139329</v>
      </c>
      <c r="P23">
        <f t="shared" si="3"/>
        <v>419.8948224833469</v>
      </c>
      <c r="Q23">
        <f t="shared" si="4"/>
        <v>419.89</v>
      </c>
    </row>
    <row r="24" spans="1:17" x14ac:dyDescent="0.3">
      <c r="A24">
        <v>13.5</v>
      </c>
      <c r="B24">
        <v>489.51</v>
      </c>
      <c r="C24">
        <v>15.37</v>
      </c>
      <c r="J24">
        <v>6.6999999999999904</v>
      </c>
      <c r="K24">
        <f t="shared" si="0"/>
        <v>425.9777972302229</v>
      </c>
      <c r="L24">
        <f t="shared" si="1"/>
        <v>427.14486641064155</v>
      </c>
      <c r="N24">
        <v>5.6</v>
      </c>
      <c r="O24">
        <f t="shared" si="2"/>
        <v>418.99250599636798</v>
      </c>
      <c r="P24">
        <f t="shared" si="3"/>
        <v>420.18967652256953</v>
      </c>
      <c r="Q24">
        <f t="shared" si="4"/>
        <v>420.19</v>
      </c>
    </row>
    <row r="25" spans="1:17" x14ac:dyDescent="0.3">
      <c r="A25">
        <v>14</v>
      </c>
      <c r="B25">
        <v>496.1</v>
      </c>
      <c r="C25">
        <v>15.37</v>
      </c>
      <c r="J25">
        <v>6.7999999999999901</v>
      </c>
      <c r="K25">
        <f t="shared" si="0"/>
        <v>426.6542148672479</v>
      </c>
      <c r="L25">
        <f t="shared" si="1"/>
        <v>427.82018712769974</v>
      </c>
      <c r="N25">
        <v>5.65</v>
      </c>
      <c r="O25">
        <f t="shared" si="2"/>
        <v>419.29128558459581</v>
      </c>
      <c r="P25">
        <f t="shared" si="3"/>
        <v>420.48644209234226</v>
      </c>
      <c r="Q25">
        <f t="shared" si="4"/>
        <v>420.49</v>
      </c>
    </row>
    <row r="26" spans="1:17" x14ac:dyDescent="0.3">
      <c r="A26">
        <v>14.5</v>
      </c>
      <c r="B26">
        <v>503.04</v>
      </c>
      <c r="C26">
        <v>15.38</v>
      </c>
      <c r="J26">
        <v>6.8999999999999897</v>
      </c>
      <c r="K26">
        <f t="shared" si="0"/>
        <v>427.33732414056294</v>
      </c>
      <c r="L26">
        <f t="shared" si="1"/>
        <v>428.50250100346125</v>
      </c>
      <c r="N26">
        <v>5.7</v>
      </c>
      <c r="O26">
        <f t="shared" si="2"/>
        <v>419.591911628763</v>
      </c>
      <c r="P26">
        <f t="shared" si="3"/>
        <v>420.78510923161451</v>
      </c>
      <c r="Q26">
        <f t="shared" si="4"/>
        <v>420.79</v>
      </c>
    </row>
    <row r="27" spans="1:17" x14ac:dyDescent="0.3">
      <c r="A27">
        <v>15</v>
      </c>
      <c r="B27">
        <v>510.33</v>
      </c>
      <c r="C27">
        <v>15.38</v>
      </c>
      <c r="J27">
        <v>6.9999999999999902</v>
      </c>
      <c r="K27">
        <f t="shared" si="0"/>
        <v>428.0270933999999</v>
      </c>
      <c r="L27">
        <f t="shared" si="1"/>
        <v>429.19178231450701</v>
      </c>
      <c r="N27">
        <v>5.75</v>
      </c>
      <c r="O27">
        <f t="shared" si="2"/>
        <v>419.89437341894529</v>
      </c>
      <c r="P27">
        <f t="shared" si="3"/>
        <v>421.08566825256315</v>
      </c>
      <c r="Q27">
        <f t="shared" si="4"/>
        <v>421.09</v>
      </c>
    </row>
    <row r="28" spans="1:17" x14ac:dyDescent="0.3">
      <c r="A28">
        <v>15.5</v>
      </c>
      <c r="B28">
        <v>518.33000000000004</v>
      </c>
      <c r="C28">
        <v>15.39</v>
      </c>
      <c r="J28">
        <v>7.0999999999999899</v>
      </c>
      <c r="K28">
        <f t="shared" si="0"/>
        <v>428.72349559362289</v>
      </c>
      <c r="L28">
        <f t="shared" si="1"/>
        <v>429.88800978650767</v>
      </c>
      <c r="N28">
        <v>5.8</v>
      </c>
      <c r="O28">
        <f t="shared" si="2"/>
        <v>420.19866053260796</v>
      </c>
      <c r="P28">
        <f t="shared" si="3"/>
        <v>421.38810974073715</v>
      </c>
      <c r="Q28">
        <f t="shared" si="4"/>
        <v>421.39</v>
      </c>
    </row>
    <row r="29" spans="1:17" x14ac:dyDescent="0.3">
      <c r="A29">
        <v>16</v>
      </c>
      <c r="B29">
        <v>527.03</v>
      </c>
      <c r="C29">
        <v>15.39</v>
      </c>
      <c r="J29">
        <v>7.1999999999999904</v>
      </c>
      <c r="K29">
        <f t="shared" si="0"/>
        <v>429.42650826772791</v>
      </c>
      <c r="L29">
        <f t="shared" si="1"/>
        <v>430.59116660143195</v>
      </c>
      <c r="N29">
        <v>5.85</v>
      </c>
      <c r="O29">
        <f t="shared" si="2"/>
        <v>420.5047628346058</v>
      </c>
      <c r="P29">
        <f t="shared" si="3"/>
        <v>421.6924245552072</v>
      </c>
      <c r="Q29">
        <f t="shared" si="4"/>
        <v>421.69</v>
      </c>
    </row>
    <row r="30" spans="1:17" x14ac:dyDescent="0.3">
      <c r="A30">
        <v>16.5</v>
      </c>
      <c r="B30">
        <v>535.71</v>
      </c>
      <c r="C30">
        <v>15.4</v>
      </c>
      <c r="J30">
        <v>7.2999999999999901</v>
      </c>
      <c r="K30">
        <f t="shared" si="0"/>
        <v>430.13611356684294</v>
      </c>
      <c r="L30">
        <f t="shared" si="1"/>
        <v>431.30124040479359</v>
      </c>
      <c r="N30">
        <v>5.9</v>
      </c>
      <c r="O30">
        <f t="shared" si="2"/>
        <v>420.81267047718296</v>
      </c>
      <c r="P30">
        <f t="shared" si="3"/>
        <v>421.99860382872129</v>
      </c>
      <c r="Q30">
        <f t="shared" si="4"/>
        <v>422</v>
      </c>
    </row>
    <row r="31" spans="1:17" x14ac:dyDescent="0.3">
      <c r="A31">
        <v>17</v>
      </c>
      <c r="B31">
        <v>545.45000000000005</v>
      </c>
      <c r="C31">
        <v>15.4</v>
      </c>
      <c r="J31">
        <v>7.3999999999999897</v>
      </c>
      <c r="K31">
        <f t="shared" si="0"/>
        <v>430.85229823372794</v>
      </c>
      <c r="L31">
        <f t="shared" si="1"/>
        <v>432.01822331291487</v>
      </c>
      <c r="N31">
        <v>5.9499999999999904</v>
      </c>
      <c r="O31">
        <f t="shared" si="2"/>
        <v>421.12237389997324</v>
      </c>
      <c r="P31">
        <f t="shared" si="3"/>
        <v>422.3066389678674</v>
      </c>
      <c r="Q31">
        <f t="shared" si="4"/>
        <v>422.31</v>
      </c>
    </row>
    <row r="32" spans="1:17" x14ac:dyDescent="0.3">
      <c r="A32">
        <v>17.5</v>
      </c>
      <c r="B32">
        <v>555.88</v>
      </c>
      <c r="C32">
        <v>15.4</v>
      </c>
      <c r="J32">
        <v>7.4999999999999902</v>
      </c>
      <c r="K32">
        <f t="shared" si="0"/>
        <v>431.57505360937489</v>
      </c>
      <c r="L32">
        <f t="shared" si="1"/>
        <v>432.74211192018902</v>
      </c>
      <c r="N32">
        <v>5.9999999999999902</v>
      </c>
      <c r="O32">
        <f t="shared" si="2"/>
        <v>421.43386382999995</v>
      </c>
      <c r="P32">
        <f t="shared" si="3"/>
        <v>422.61652165323852</v>
      </c>
      <c r="Q32">
        <f t="shared" si="4"/>
        <v>422.62</v>
      </c>
    </row>
    <row r="33" spans="1:17" x14ac:dyDescent="0.3">
      <c r="A33">
        <v>18</v>
      </c>
      <c r="B33">
        <v>566.63</v>
      </c>
      <c r="C33">
        <v>15.41</v>
      </c>
      <c r="J33">
        <v>7.5999999999999899</v>
      </c>
      <c r="K33">
        <f t="shared" si="0"/>
        <v>432.30437563300791</v>
      </c>
      <c r="L33">
        <f t="shared" si="1"/>
        <v>433.47290730631767</v>
      </c>
      <c r="N33">
        <v>6.0499999999999901</v>
      </c>
      <c r="O33">
        <f t="shared" si="2"/>
        <v>421.74713128167571</v>
      </c>
      <c r="P33">
        <f t="shared" si="3"/>
        <v>422.92824383960283</v>
      </c>
      <c r="Q33">
        <f t="shared" si="4"/>
        <v>422.93</v>
      </c>
    </row>
    <row r="34" spans="1:17" x14ac:dyDescent="0.3">
      <c r="A34">
        <v>18.5</v>
      </c>
      <c r="B34">
        <v>579.13</v>
      </c>
      <c r="C34">
        <v>15.41</v>
      </c>
      <c r="J34">
        <v>7.6999999999999904</v>
      </c>
      <c r="K34">
        <f t="shared" si="0"/>
        <v>433.04026484208293</v>
      </c>
      <c r="L34">
        <f t="shared" si="1"/>
        <v>434.21061504350945</v>
      </c>
      <c r="N34">
        <v>6.0999999999999899</v>
      </c>
      <c r="O34">
        <f t="shared" si="2"/>
        <v>422.06216755680293</v>
      </c>
      <c r="P34">
        <f t="shared" si="3"/>
        <v>423.24179775608172</v>
      </c>
      <c r="Q34">
        <f t="shared" si="4"/>
        <v>423.24</v>
      </c>
    </row>
    <row r="35" spans="1:17" x14ac:dyDescent="0.3">
      <c r="A35">
        <v>17.3</v>
      </c>
      <c r="J35">
        <v>7.7999999999999901</v>
      </c>
      <c r="K35">
        <f t="shared" si="0"/>
        <v>433.78272637228793</v>
      </c>
      <c r="L35">
        <f t="shared" si="1"/>
        <v>434.9552452036167</v>
      </c>
      <c r="N35">
        <v>6.1499999999999897</v>
      </c>
      <c r="O35">
        <f t="shared" si="2"/>
        <v>422.37896424457324</v>
      </c>
      <c r="P35">
        <f t="shared" si="3"/>
        <v>423.55717590632753</v>
      </c>
      <c r="Q35">
        <f t="shared" si="4"/>
        <v>423.56</v>
      </c>
    </row>
    <row r="36" spans="1:17" x14ac:dyDescent="0.3">
      <c r="J36">
        <v>7.8999999999999897</v>
      </c>
      <c r="K36">
        <f t="shared" si="0"/>
        <v>434.53176995754291</v>
      </c>
      <c r="L36">
        <f t="shared" si="1"/>
        <v>435.70681236519425</v>
      </c>
      <c r="N36">
        <v>6.1999999999999904</v>
      </c>
      <c r="O36">
        <f t="shared" si="2"/>
        <v>422.69751322156793</v>
      </c>
      <c r="P36">
        <f t="shared" si="3"/>
        <v>423.87437106870919</v>
      </c>
      <c r="Q36">
        <f t="shared" si="4"/>
        <v>423.87</v>
      </c>
    </row>
    <row r="37" spans="1:17" x14ac:dyDescent="0.3">
      <c r="J37">
        <v>7.9999999999999902</v>
      </c>
      <c r="K37">
        <f t="shared" si="0"/>
        <v>435.28740992999991</v>
      </c>
      <c r="L37">
        <f t="shared" si="1"/>
        <v>436.46533562046375</v>
      </c>
      <c r="N37">
        <v>6.2499999999999902</v>
      </c>
      <c r="O37">
        <f t="shared" si="2"/>
        <v>423.01780665175772</v>
      </c>
      <c r="P37">
        <f t="shared" si="3"/>
        <v>424.19337629650005</v>
      </c>
      <c r="Q37">
        <f t="shared" si="4"/>
        <v>424.19</v>
      </c>
    </row>
    <row r="38" spans="1:17" x14ac:dyDescent="0.3">
      <c r="J38">
        <v>8.0999999999999908</v>
      </c>
      <c r="K38">
        <f t="shared" si="0"/>
        <v>436.04966522004293</v>
      </c>
      <c r="L38">
        <f t="shared" si="1"/>
        <v>437.23083858216143</v>
      </c>
      <c r="N38">
        <v>6.2999999999999901</v>
      </c>
      <c r="O38">
        <f t="shared" si="2"/>
        <v>423.33983698650292</v>
      </c>
      <c r="P38">
        <f t="shared" si="3"/>
        <v>424.51418491806959</v>
      </c>
      <c r="Q38">
        <f t="shared" si="4"/>
        <v>424.51</v>
      </c>
    </row>
    <row r="39" spans="1:17" x14ac:dyDescent="0.3">
      <c r="J39">
        <v>8.1999999999999904</v>
      </c>
      <c r="K39">
        <f t="shared" si="0"/>
        <v>436.81855935628789</v>
      </c>
      <c r="L39">
        <f t="shared" si="1"/>
        <v>438.00334939025799</v>
      </c>
      <c r="N39">
        <v>6.3499999999999899</v>
      </c>
      <c r="O39">
        <f t="shared" si="2"/>
        <v>423.66359696455322</v>
      </c>
      <c r="P39">
        <f t="shared" si="3"/>
        <v>424.83679053707959</v>
      </c>
      <c r="Q39">
        <f t="shared" si="4"/>
        <v>424.84</v>
      </c>
    </row>
    <row r="40" spans="1:17" x14ac:dyDescent="0.3">
      <c r="J40">
        <v>8.2999999999999901</v>
      </c>
      <c r="K40">
        <f t="shared" si="0"/>
        <v>437.59412046558293</v>
      </c>
      <c r="L40">
        <f t="shared" si="1"/>
        <v>438.78290071853178</v>
      </c>
      <c r="N40">
        <v>6.3999999999999897</v>
      </c>
      <c r="O40">
        <f t="shared" si="2"/>
        <v>423.98907961204793</v>
      </c>
      <c r="P40">
        <f t="shared" si="3"/>
        <v>425.16118703268251</v>
      </c>
      <c r="Q40">
        <f t="shared" si="4"/>
        <v>425.16</v>
      </c>
    </row>
    <row r="41" spans="1:17" x14ac:dyDescent="0.3">
      <c r="J41">
        <v>8.3999999999999897</v>
      </c>
      <c r="K41">
        <f t="shared" si="0"/>
        <v>438.37638127300789</v>
      </c>
      <c r="L41">
        <f t="shared" si="1"/>
        <v>439.56952978097672</v>
      </c>
      <c r="N41">
        <v>6.4499999999999904</v>
      </c>
      <c r="O41">
        <f t="shared" si="2"/>
        <v>424.31627824251575</v>
      </c>
      <c r="P41">
        <f t="shared" si="3"/>
        <v>425.48736855972362</v>
      </c>
      <c r="Q41">
        <f t="shared" si="4"/>
        <v>425.49</v>
      </c>
    </row>
    <row r="42" spans="1:17" x14ac:dyDescent="0.3">
      <c r="J42">
        <v>8.4999999999999893</v>
      </c>
      <c r="K42">
        <f t="shared" si="0"/>
        <v>439.16537910187492</v>
      </c>
      <c r="L42">
        <f t="shared" si="1"/>
        <v>440.36327833803068</v>
      </c>
      <c r="N42">
        <v>6.4999999999999902</v>
      </c>
      <c r="O42">
        <f t="shared" si="2"/>
        <v>424.64518645687491</v>
      </c>
      <c r="P42">
        <f t="shared" si="3"/>
        <v>425.81532954894618</v>
      </c>
      <c r="Q42">
        <f t="shared" si="4"/>
        <v>425.82</v>
      </c>
    </row>
    <row r="43" spans="1:17" x14ac:dyDescent="0.3">
      <c r="J43">
        <v>8.5999999999999908</v>
      </c>
      <c r="K43">
        <f t="shared" si="0"/>
        <v>439.96115587372788</v>
      </c>
      <c r="L43">
        <f t="shared" si="1"/>
        <v>441.16419270261088</v>
      </c>
      <c r="N43">
        <v>6.5499999999999901</v>
      </c>
      <c r="O43">
        <f t="shared" si="2"/>
        <v>424.97579814343322</v>
      </c>
      <c r="P43">
        <f t="shared" si="3"/>
        <v>426.14506470719891</v>
      </c>
      <c r="Q43">
        <f t="shared" si="4"/>
        <v>426.15</v>
      </c>
    </row>
    <row r="44" spans="1:17" x14ac:dyDescent="0.3">
      <c r="J44">
        <v>8.6999999999999904</v>
      </c>
      <c r="K44">
        <f t="shared" si="0"/>
        <v>440.76375810834293</v>
      </c>
      <c r="L44">
        <f t="shared" si="1"/>
        <v>441.97232374593432</v>
      </c>
      <c r="N44">
        <v>6.5999999999999899</v>
      </c>
      <c r="O44">
        <f t="shared" si="2"/>
        <v>425.30810747788792</v>
      </c>
      <c r="P44">
        <f t="shared" si="3"/>
        <v>426.47656901764623</v>
      </c>
      <c r="Q44">
        <f t="shared" si="4"/>
        <v>426.48</v>
      </c>
    </row>
    <row r="45" spans="1:17" x14ac:dyDescent="0.3">
      <c r="J45">
        <v>8.7999999999999794</v>
      </c>
      <c r="K45">
        <f t="shared" si="0"/>
        <v>441.57323692372785</v>
      </c>
      <c r="L45">
        <f t="shared" si="1"/>
        <v>442.78772690311416</v>
      </c>
      <c r="N45">
        <v>6.6499999999999897</v>
      </c>
      <c r="O45">
        <f t="shared" si="2"/>
        <v>425.64210892332574</v>
      </c>
      <c r="P45">
        <f t="shared" si="3"/>
        <v>426.80983773998173</v>
      </c>
      <c r="Q45">
        <f t="shared" si="4"/>
        <v>426.81</v>
      </c>
    </row>
    <row r="46" spans="1:17" x14ac:dyDescent="0.3">
      <c r="J46">
        <v>8.8999999999999808</v>
      </c>
      <c r="K46">
        <f t="shared" si="0"/>
        <v>442.38964803612282</v>
      </c>
      <c r="L46">
        <f t="shared" si="1"/>
        <v>443.61046217851197</v>
      </c>
      <c r="N46">
        <v>6.6999999999999904</v>
      </c>
      <c r="O46">
        <f t="shared" si="2"/>
        <v>425.9777972302229</v>
      </c>
      <c r="P46">
        <f t="shared" si="3"/>
        <v>427.14486641064155</v>
      </c>
      <c r="Q46">
        <f t="shared" si="4"/>
        <v>427.14</v>
      </c>
    </row>
    <row r="47" spans="1:17" x14ac:dyDescent="0.3">
      <c r="J47">
        <v>8.9999999999999805</v>
      </c>
      <c r="K47">
        <f t="shared" si="0"/>
        <v>443.21305175999981</v>
      </c>
      <c r="L47">
        <f t="shared" si="1"/>
        <v>444.44059415083296</v>
      </c>
      <c r="N47">
        <v>6.7499999999999902</v>
      </c>
      <c r="O47">
        <f t="shared" si="2"/>
        <v>426.31516743644522</v>
      </c>
      <c r="P47">
        <f t="shared" si="3"/>
        <v>427.48165084302246</v>
      </c>
      <c r="Q47">
        <f t="shared" si="4"/>
        <v>427.48</v>
      </c>
    </row>
    <row r="48" spans="1:17" x14ac:dyDescent="0.3">
      <c r="J48">
        <v>9.0999999999999801</v>
      </c>
      <c r="K48">
        <f t="shared" si="0"/>
        <v>444.0435130080628</v>
      </c>
      <c r="L48">
        <f t="shared" si="1"/>
        <v>445.27819197794594</v>
      </c>
      <c r="N48">
        <v>6.7999999999999901</v>
      </c>
      <c r="O48">
        <f t="shared" si="2"/>
        <v>426.6542148672479</v>
      </c>
      <c r="P48">
        <f t="shared" si="3"/>
        <v>427.82018712769974</v>
      </c>
      <c r="Q48">
        <f t="shared" si="4"/>
        <v>427.82</v>
      </c>
    </row>
    <row r="49" spans="10:17" x14ac:dyDescent="0.3">
      <c r="J49">
        <v>9.1999999999999797</v>
      </c>
      <c r="K49">
        <f t="shared" si="0"/>
        <v>444.88110129124783</v>
      </c>
      <c r="L49">
        <f t="shared" si="1"/>
        <v>446.12332940141835</v>
      </c>
      <c r="N49">
        <v>6.8499999999999899</v>
      </c>
      <c r="O49">
        <f t="shared" si="2"/>
        <v>426.99493513527574</v>
      </c>
      <c r="P49">
        <f t="shared" si="3"/>
        <v>428.1604716326479</v>
      </c>
      <c r="Q49">
        <f t="shared" si="4"/>
        <v>428.16</v>
      </c>
    </row>
    <row r="50" spans="10:17" x14ac:dyDescent="0.3">
      <c r="J50">
        <v>9.2999999999999794</v>
      </c>
      <c r="K50">
        <f t="shared" si="0"/>
        <v>445.72589071872278</v>
      </c>
      <c r="L50">
        <f t="shared" si="1"/>
        <v>446.97608475074037</v>
      </c>
      <c r="N50">
        <v>6.8999999999999897</v>
      </c>
      <c r="O50">
        <f t="shared" si="2"/>
        <v>427.33732414056294</v>
      </c>
      <c r="P50">
        <f t="shared" si="3"/>
        <v>428.50250100346125</v>
      </c>
      <c r="Q50">
        <f t="shared" si="4"/>
        <v>428.5</v>
      </c>
    </row>
    <row r="51" spans="10:17" x14ac:dyDescent="0.3">
      <c r="J51">
        <v>9.3999999999999808</v>
      </c>
      <c r="K51">
        <f t="shared" si="0"/>
        <v>446.57795999788783</v>
      </c>
      <c r="L51">
        <f t="shared" si="1"/>
        <v>447.83654094723664</v>
      </c>
      <c r="N51">
        <v>6.9499999999999904</v>
      </c>
      <c r="O51">
        <f t="shared" si="2"/>
        <v>427.68137807053324</v>
      </c>
      <c r="P51">
        <f t="shared" si="3"/>
        <v>428.84627216357899</v>
      </c>
      <c r="Q51">
        <f t="shared" si="4"/>
        <v>428.85</v>
      </c>
    </row>
    <row r="52" spans="10:17" x14ac:dyDescent="0.3">
      <c r="J52">
        <v>9.4999999999999805</v>
      </c>
      <c r="K52">
        <f t="shared" si="0"/>
        <v>447.43739243437483</v>
      </c>
      <c r="L52">
        <f t="shared" si="1"/>
        <v>448.70478550763562</v>
      </c>
      <c r="N52">
        <v>6.9999999999999902</v>
      </c>
      <c r="O52">
        <f t="shared" si="2"/>
        <v>428.0270933999999</v>
      </c>
      <c r="P52">
        <f t="shared" si="3"/>
        <v>429.19178231450701</v>
      </c>
      <c r="Q52">
        <f t="shared" si="4"/>
        <v>429.19</v>
      </c>
    </row>
    <row r="53" spans="10:17" x14ac:dyDescent="0.3">
      <c r="J53">
        <v>9.5999999999999801</v>
      </c>
      <c r="K53">
        <f t="shared" si="0"/>
        <v>448.3042759320478</v>
      </c>
      <c r="L53">
        <f t="shared" si="1"/>
        <v>449.58091054729113</v>
      </c>
      <c r="N53">
        <v>7.0499999999999901</v>
      </c>
      <c r="O53">
        <f t="shared" si="2"/>
        <v>428.3744668911657</v>
      </c>
      <c r="P53">
        <f t="shared" si="3"/>
        <v>429.53902893604425</v>
      </c>
      <c r="Q53">
        <f t="shared" si="4"/>
        <v>429.54</v>
      </c>
    </row>
    <row r="54" spans="10:17" x14ac:dyDescent="0.3">
      <c r="J54">
        <v>9.6999999999999797</v>
      </c>
      <c r="K54">
        <f t="shared" si="0"/>
        <v>449.17870299300279</v>
      </c>
      <c r="L54">
        <f t="shared" si="1"/>
        <v>450.46501278303526</v>
      </c>
      <c r="N54">
        <v>7.0999999999999899</v>
      </c>
      <c r="O54">
        <f t="shared" si="2"/>
        <v>428.72349559362289</v>
      </c>
      <c r="P54">
        <f t="shared" si="3"/>
        <v>429.88800978650767</v>
      </c>
      <c r="Q54">
        <f t="shared" si="4"/>
        <v>429.89</v>
      </c>
    </row>
    <row r="55" spans="10:17" x14ac:dyDescent="0.3">
      <c r="J55">
        <v>9.7999999999999794</v>
      </c>
      <c r="K55">
        <f t="shared" si="0"/>
        <v>450.06077071756783</v>
      </c>
      <c r="L55">
        <f t="shared" si="1"/>
        <v>451.3571935356465</v>
      </c>
      <c r="N55">
        <v>7.1499999999999897</v>
      </c>
      <c r="O55">
        <f t="shared" si="2"/>
        <v>429.07417684435325</v>
      </c>
      <c r="P55">
        <f t="shared" si="3"/>
        <v>430.23872290295918</v>
      </c>
      <c r="Q55">
        <f t="shared" si="4"/>
        <v>430.24</v>
      </c>
    </row>
    <row r="56" spans="10:17" x14ac:dyDescent="0.3">
      <c r="J56">
        <v>9.8999999999999808</v>
      </c>
      <c r="K56">
        <f t="shared" si="0"/>
        <v>450.95058080430283</v>
      </c>
      <c r="L56">
        <f t="shared" si="1"/>
        <v>452.25755873191702</v>
      </c>
      <c r="N56">
        <v>7.1999999999999904</v>
      </c>
      <c r="O56">
        <f t="shared" si="2"/>
        <v>429.42650826772791</v>
      </c>
      <c r="P56">
        <f t="shared" si="3"/>
        <v>430.59116660143195</v>
      </c>
      <c r="Q56">
        <f t="shared" si="4"/>
        <v>430.59</v>
      </c>
    </row>
    <row r="57" spans="10:17" x14ac:dyDescent="0.3">
      <c r="J57">
        <v>9.9999999999999805</v>
      </c>
      <c r="K57">
        <f t="shared" si="0"/>
        <v>451.84823954999979</v>
      </c>
      <c r="L57">
        <f t="shared" si="1"/>
        <v>453.16621890630483</v>
      </c>
      <c r="N57">
        <v>7.2499999999999902</v>
      </c>
      <c r="O57">
        <f t="shared" si="2"/>
        <v>429.78048777550771</v>
      </c>
      <c r="P57">
        <f t="shared" si="3"/>
        <v>430.9453394771578</v>
      </c>
      <c r="Q57">
        <f t="shared" si="4"/>
        <v>430.95</v>
      </c>
    </row>
    <row r="58" spans="10:17" x14ac:dyDescent="0.3">
      <c r="J58">
        <v>10.1</v>
      </c>
      <c r="K58">
        <f t="shared" si="0"/>
        <v>452.75385784968296</v>
      </c>
      <c r="L58">
        <f t="shared" si="1"/>
        <v>454.08328920214751</v>
      </c>
      <c r="N58">
        <v>7.2999999999999901</v>
      </c>
      <c r="O58">
        <f t="shared" si="2"/>
        <v>430.13611356684294</v>
      </c>
      <c r="P58">
        <f t="shared" si="3"/>
        <v>431.30124040479359</v>
      </c>
      <c r="Q58">
        <f t="shared" si="4"/>
        <v>431.3</v>
      </c>
    </row>
    <row r="59" spans="10:17" x14ac:dyDescent="0.3">
      <c r="J59">
        <v>10.199999999999999</v>
      </c>
      <c r="K59">
        <f t="shared" si="0"/>
        <v>453.66755119660797</v>
      </c>
      <c r="L59">
        <f t="shared" si="1"/>
        <v>455.00888937242797</v>
      </c>
      <c r="N59">
        <v>7.3499999999999899</v>
      </c>
      <c r="O59">
        <f t="shared" si="2"/>
        <v>430.49338412827325</v>
      </c>
      <c r="P59">
        <f t="shared" si="3"/>
        <v>431.6588685386493</v>
      </c>
      <c r="Q59">
        <f t="shared" si="4"/>
        <v>431.66</v>
      </c>
    </row>
    <row r="60" spans="10:17" x14ac:dyDescent="0.3">
      <c r="J60">
        <v>10.3</v>
      </c>
      <c r="K60">
        <f t="shared" si="0"/>
        <v>454.58943968226299</v>
      </c>
      <c r="L60">
        <f t="shared" si="1"/>
        <v>455.94314378006584</v>
      </c>
      <c r="N60">
        <v>7.3999999999999897</v>
      </c>
      <c r="O60">
        <f t="shared" si="2"/>
        <v>430.85229823372794</v>
      </c>
      <c r="P60">
        <f t="shared" si="3"/>
        <v>432.01822331291487</v>
      </c>
      <c r="Q60">
        <f t="shared" si="4"/>
        <v>432.02</v>
      </c>
    </row>
    <row r="61" spans="10:17" x14ac:dyDescent="0.3">
      <c r="J61">
        <v>10.4</v>
      </c>
      <c r="K61">
        <f t="shared" si="0"/>
        <v>455.51964799636801</v>
      </c>
      <c r="L61">
        <f t="shared" si="1"/>
        <v>456.88618139772285</v>
      </c>
      <c r="N61">
        <v>7.4499999999999904</v>
      </c>
      <c r="O61">
        <f t="shared" si="2"/>
        <v>431.2128549445257</v>
      </c>
      <c r="P61">
        <f t="shared" si="3"/>
        <v>432.37930444188549</v>
      </c>
      <c r="Q61">
        <f t="shared" si="4"/>
        <v>432.38</v>
      </c>
    </row>
    <row r="62" spans="10:17" x14ac:dyDescent="0.3">
      <c r="J62">
        <v>10.5</v>
      </c>
      <c r="K62">
        <f t="shared" si="0"/>
        <v>456.45830542687497</v>
      </c>
      <c r="L62">
        <f t="shared" si="1"/>
        <v>457.8381358071012</v>
      </c>
      <c r="N62">
        <v>7.4999999999999902</v>
      </c>
      <c r="O62">
        <f t="shared" si="2"/>
        <v>431.57505360937489</v>
      </c>
      <c r="P62">
        <f t="shared" si="3"/>
        <v>432.74211192018902</v>
      </c>
      <c r="Q62">
        <f t="shared" si="4"/>
        <v>432.74</v>
      </c>
    </row>
    <row r="63" spans="10:17" x14ac:dyDescent="0.3">
      <c r="J63">
        <v>10.6</v>
      </c>
      <c r="K63">
        <f t="shared" si="0"/>
        <v>457.40554585996802</v>
      </c>
      <c r="L63">
        <f t="shared" si="1"/>
        <v>458.79914519771415</v>
      </c>
      <c r="N63">
        <v>7.5499999999999901</v>
      </c>
      <c r="O63">
        <f t="shared" si="2"/>
        <v>431.9388938643732</v>
      </c>
      <c r="P63">
        <f t="shared" si="3"/>
        <v>433.10664602301057</v>
      </c>
      <c r="Q63">
        <f t="shared" si="4"/>
        <v>433.11</v>
      </c>
    </row>
    <row r="64" spans="10:17" x14ac:dyDescent="0.3">
      <c r="J64">
        <v>10.7</v>
      </c>
      <c r="K64">
        <f t="shared" si="0"/>
        <v>458.36150778006299</v>
      </c>
      <c r="L64">
        <f t="shared" si="1"/>
        <v>459.76935236511036</v>
      </c>
      <c r="N64">
        <v>7.5999999999999899</v>
      </c>
      <c r="O64">
        <f t="shared" si="2"/>
        <v>432.30437563300791</v>
      </c>
      <c r="P64">
        <f t="shared" si="3"/>
        <v>433.47290730631767</v>
      </c>
      <c r="Q64">
        <f t="shared" si="4"/>
        <v>433.47</v>
      </c>
    </row>
    <row r="65" spans="10:17" x14ac:dyDescent="0.3">
      <c r="J65">
        <v>10.8</v>
      </c>
      <c r="K65">
        <f t="shared" si="0"/>
        <v>459.326334269808</v>
      </c>
      <c r="L65">
        <f t="shared" si="1"/>
        <v>460.74890470853336</v>
      </c>
      <c r="N65">
        <v>7.6499999999999897</v>
      </c>
      <c r="O65">
        <f t="shared" si="2"/>
        <v>432.67149912615571</v>
      </c>
      <c r="P65">
        <f t="shared" si="3"/>
        <v>433.84089660708338</v>
      </c>
      <c r="Q65">
        <f t="shared" si="4"/>
        <v>433.84</v>
      </c>
    </row>
    <row r="66" spans="10:17" x14ac:dyDescent="0.3">
      <c r="J66">
        <v>10.9</v>
      </c>
      <c r="K66">
        <f t="shared" si="0"/>
        <v>460.30017301008297</v>
      </c>
      <c r="L66">
        <f t="shared" si="1"/>
        <v>461.73795422799202</v>
      </c>
      <c r="N66">
        <v>7.6999999999999904</v>
      </c>
      <c r="O66">
        <f t="shared" si="2"/>
        <v>433.04026484208293</v>
      </c>
      <c r="P66">
        <f t="shared" si="3"/>
        <v>434.21061504350945</v>
      </c>
      <c r="Q66">
        <f t="shared" si="4"/>
        <v>434.21</v>
      </c>
    </row>
    <row r="67" spans="10:17" x14ac:dyDescent="0.3">
      <c r="J67">
        <v>11</v>
      </c>
      <c r="K67">
        <f t="shared" ref="K67:K130" si="5">0.00191593*J67^4-0.05777151*J67^3+0.98154584*J67^2-0.94698723*J67+401.77573785</f>
        <v>461.28317628000002</v>
      </c>
      <c r="L67">
        <f t="shared" ref="L67:L130" si="6">3.7*(0.000000000646*K67^4-0.0000015648*K67^3+0.0013882318*K67^2-0.5311145615*K67+74.3371688691)+K67</f>
        <v>462.73665752072492</v>
      </c>
      <c r="N67">
        <v>7.7499999999999902</v>
      </c>
      <c r="O67">
        <f t="shared" ref="O67:O130" si="7">0.00191593*N67^4-0.05777151*N67^3+0.98154584*N67^2-0.94698723*N67+401.77573785</f>
        <v>433.41067356644521</v>
      </c>
      <c r="P67">
        <f t="shared" ref="P67:P130" si="8">3.7*(0.000000000646*O67^4-0.0000015648*O67^3+0.0013882318*O67^2-0.5311145615*O67+74.3371688691)+O67</f>
        <v>434.58206401524689</v>
      </c>
      <c r="Q67">
        <f t="shared" ref="Q67:Q130" si="9">ROUND(P67,2)</f>
        <v>434.58</v>
      </c>
    </row>
    <row r="68" spans="10:17" x14ac:dyDescent="0.3">
      <c r="J68">
        <v>11.1</v>
      </c>
      <c r="K68">
        <f t="shared" si="5"/>
        <v>462.27550095690299</v>
      </c>
      <c r="L68">
        <f t="shared" si="6"/>
        <v>463.74517577703051</v>
      </c>
      <c r="N68">
        <v>7.7999999999999901</v>
      </c>
      <c r="O68">
        <f t="shared" si="7"/>
        <v>433.78272637228793</v>
      </c>
      <c r="P68">
        <f t="shared" si="8"/>
        <v>434.9552452036167</v>
      </c>
      <c r="Q68">
        <f t="shared" si="9"/>
        <v>434.96</v>
      </c>
    </row>
    <row r="69" spans="10:17" x14ac:dyDescent="0.3">
      <c r="J69">
        <v>11.2</v>
      </c>
      <c r="K69">
        <f t="shared" si="5"/>
        <v>463.27730851636795</v>
      </c>
      <c r="L69">
        <f t="shared" si="6"/>
        <v>464.76367477545051</v>
      </c>
      <c r="N69">
        <v>7.8499999999999899</v>
      </c>
      <c r="O69">
        <f t="shared" si="7"/>
        <v>434.1564246200457</v>
      </c>
      <c r="P69">
        <f t="shared" si="8"/>
        <v>435.33016057182772</v>
      </c>
      <c r="Q69">
        <f t="shared" si="9"/>
        <v>435.33</v>
      </c>
    </row>
    <row r="70" spans="10:17" x14ac:dyDescent="0.3">
      <c r="J70">
        <v>11.3</v>
      </c>
      <c r="K70">
        <f t="shared" si="5"/>
        <v>464.288765032203</v>
      </c>
      <c r="L70">
        <f t="shared" si="6"/>
        <v>465.79232487727262</v>
      </c>
      <c r="N70">
        <v>7.8999999999999897</v>
      </c>
      <c r="O70">
        <f t="shared" si="7"/>
        <v>434.53176995754291</v>
      </c>
      <c r="P70">
        <f t="shared" si="8"/>
        <v>435.70681236519425</v>
      </c>
      <c r="Q70">
        <f t="shared" si="9"/>
        <v>435.71</v>
      </c>
    </row>
    <row r="71" spans="10:17" x14ac:dyDescent="0.3">
      <c r="J71">
        <v>11.4</v>
      </c>
      <c r="K71">
        <f t="shared" si="5"/>
        <v>465.31004117644801</v>
      </c>
      <c r="L71">
        <f t="shared" si="6"/>
        <v>466.83130102033795</v>
      </c>
      <c r="N71">
        <v>7.9499999999999904</v>
      </c>
      <c r="O71">
        <f t="shared" si="7"/>
        <v>434.90876431999322</v>
      </c>
      <c r="P71">
        <f t="shared" si="8"/>
        <v>436.08520311135078</v>
      </c>
      <c r="Q71">
        <f t="shared" si="9"/>
        <v>436.09</v>
      </c>
    </row>
    <row r="72" spans="10:17" x14ac:dyDescent="0.3">
      <c r="J72">
        <v>11.5</v>
      </c>
      <c r="K72">
        <f t="shared" si="5"/>
        <v>466.34131221937497</v>
      </c>
      <c r="L72">
        <f t="shared" si="6"/>
        <v>467.88078271212379</v>
      </c>
      <c r="N72">
        <v>7.9999999999999902</v>
      </c>
      <c r="O72">
        <f t="shared" si="7"/>
        <v>435.28740992999991</v>
      </c>
      <c r="P72">
        <f t="shared" si="8"/>
        <v>436.46533562046375</v>
      </c>
      <c r="Q72">
        <f t="shared" si="9"/>
        <v>436.47</v>
      </c>
    </row>
    <row r="73" spans="10:17" x14ac:dyDescent="0.3">
      <c r="J73">
        <v>11.6</v>
      </c>
      <c r="K73">
        <f t="shared" si="5"/>
        <v>467.38275802948795</v>
      </c>
      <c r="L73">
        <f t="shared" si="6"/>
        <v>468.94095402208012</v>
      </c>
      <c r="N73">
        <v>8.0499999999999901</v>
      </c>
      <c r="O73">
        <f t="shared" si="7"/>
        <v>435.66770929755569</v>
      </c>
      <c r="P73">
        <f t="shared" si="8"/>
        <v>436.84721298544588</v>
      </c>
      <c r="Q73">
        <f t="shared" si="9"/>
        <v>436.85</v>
      </c>
    </row>
    <row r="74" spans="10:17" x14ac:dyDescent="0.3">
      <c r="J74">
        <v>11.7</v>
      </c>
      <c r="K74">
        <f t="shared" si="5"/>
        <v>468.43456307352301</v>
      </c>
      <c r="L74">
        <f t="shared" si="6"/>
        <v>470.01200357319323</v>
      </c>
      <c r="N74">
        <v>8.0999999999999908</v>
      </c>
      <c r="O74">
        <f t="shared" si="7"/>
        <v>436.04966522004293</v>
      </c>
      <c r="P74">
        <f t="shared" si="8"/>
        <v>437.23083858216143</v>
      </c>
      <c r="Q74">
        <f t="shared" si="9"/>
        <v>437.23</v>
      </c>
    </row>
    <row r="75" spans="10:17" x14ac:dyDescent="0.3">
      <c r="J75">
        <v>11.8</v>
      </c>
      <c r="K75">
        <f t="shared" si="5"/>
        <v>469.49691641644802</v>
      </c>
      <c r="L75">
        <f t="shared" si="6"/>
        <v>471.09412453275189</v>
      </c>
      <c r="N75">
        <v>8.1499999999999897</v>
      </c>
      <c r="O75">
        <f t="shared" si="7"/>
        <v>436.43328078223323</v>
      </c>
      <c r="P75">
        <f t="shared" si="8"/>
        <v>437.61621606963581</v>
      </c>
      <c r="Q75">
        <f t="shared" si="9"/>
        <v>437.62</v>
      </c>
    </row>
    <row r="76" spans="10:17" x14ac:dyDescent="0.3">
      <c r="J76">
        <v>11.9</v>
      </c>
      <c r="K76">
        <f t="shared" si="5"/>
        <v>470.570011721463</v>
      </c>
      <c r="L76">
        <f t="shared" si="6"/>
        <v>472.18751460228941</v>
      </c>
      <c r="N76">
        <v>8.1999999999999904</v>
      </c>
      <c r="O76">
        <f t="shared" si="7"/>
        <v>436.81855935628789</v>
      </c>
      <c r="P76">
        <f t="shared" si="8"/>
        <v>438.00334939025799</v>
      </c>
      <c r="Q76">
        <f t="shared" si="9"/>
        <v>438</v>
      </c>
    </row>
    <row r="77" spans="10:17" x14ac:dyDescent="0.3">
      <c r="J77">
        <v>12</v>
      </c>
      <c r="K77">
        <f t="shared" si="5"/>
        <v>471.65404724999996</v>
      </c>
      <c r="L77">
        <f t="shared" si="6"/>
        <v>473.29237600667619</v>
      </c>
      <c r="N77">
        <v>8.2499999999999893</v>
      </c>
      <c r="O77">
        <f t="shared" si="7"/>
        <v>437.20550460175775</v>
      </c>
      <c r="P77">
        <f t="shared" si="8"/>
        <v>438.39224276998345</v>
      </c>
      <c r="Q77">
        <f t="shared" si="9"/>
        <v>438.39</v>
      </c>
    </row>
    <row r="78" spans="10:17" x14ac:dyDescent="0.3">
      <c r="J78">
        <v>12.1</v>
      </c>
      <c r="K78">
        <f t="shared" si="5"/>
        <v>472.74922586172295</v>
      </c>
      <c r="L78">
        <f t="shared" si="6"/>
        <v>474.40891548233446</v>
      </c>
      <c r="N78">
        <v>8.2999999999999901</v>
      </c>
      <c r="O78">
        <f t="shared" si="7"/>
        <v>437.59412046558293</v>
      </c>
      <c r="P78">
        <f t="shared" si="8"/>
        <v>438.78290071853178</v>
      </c>
      <c r="Q78">
        <f t="shared" si="9"/>
        <v>438.78</v>
      </c>
    </row>
    <row r="79" spans="10:17" x14ac:dyDescent="0.3">
      <c r="J79">
        <v>12.2</v>
      </c>
      <c r="K79">
        <f t="shared" si="5"/>
        <v>473.85575501452797</v>
      </c>
      <c r="L79">
        <f t="shared" si="6"/>
        <v>475.53734426454906</v>
      </c>
      <c r="N79">
        <v>8.3499999999999908</v>
      </c>
      <c r="O79">
        <f t="shared" si="7"/>
        <v>437.98441118209325</v>
      </c>
      <c r="P79">
        <f t="shared" si="8"/>
        <v>439.17532802958459</v>
      </c>
      <c r="Q79">
        <f t="shared" si="9"/>
        <v>439.18</v>
      </c>
    </row>
    <row r="80" spans="10:17" x14ac:dyDescent="0.3">
      <c r="J80">
        <v>12.3</v>
      </c>
      <c r="K80">
        <f t="shared" si="5"/>
        <v>474.973846764543</v>
      </c>
      <c r="L80">
        <f t="shared" si="6"/>
        <v>476.67787807384587</v>
      </c>
      <c r="N80">
        <v>8.3999999999999897</v>
      </c>
      <c r="O80">
        <f t="shared" si="7"/>
        <v>438.37638127300789</v>
      </c>
      <c r="P80">
        <f t="shared" si="8"/>
        <v>439.56952978097672</v>
      </c>
      <c r="Q80">
        <f t="shared" si="9"/>
        <v>439.57</v>
      </c>
    </row>
    <row r="81" spans="10:17" x14ac:dyDescent="0.3">
      <c r="J81">
        <v>12.4</v>
      </c>
      <c r="K81">
        <f t="shared" si="5"/>
        <v>476.103717766128</v>
      </c>
      <c r="L81">
        <f t="shared" si="6"/>
        <v>477.83073710141264</v>
      </c>
      <c r="N81">
        <v>8.4499999999999904</v>
      </c>
      <c r="O81">
        <f t="shared" si="7"/>
        <v>438.77003554743573</v>
      </c>
      <c r="P81">
        <f t="shared" si="8"/>
        <v>439.96551133488811</v>
      </c>
      <c r="Q81">
        <f t="shared" si="9"/>
        <v>439.97</v>
      </c>
    </row>
    <row r="82" spans="10:17" x14ac:dyDescent="0.3">
      <c r="J82">
        <v>12.5</v>
      </c>
      <c r="K82">
        <f t="shared" si="5"/>
        <v>477.24558927187502</v>
      </c>
      <c r="L82">
        <f t="shared" si="6"/>
        <v>478.99614599352901</v>
      </c>
      <c r="N82">
        <v>8.4999999999999893</v>
      </c>
      <c r="O82">
        <f t="shared" si="7"/>
        <v>439.16537910187492</v>
      </c>
      <c r="P82">
        <f t="shared" si="8"/>
        <v>440.36327833803068</v>
      </c>
      <c r="Q82">
        <f t="shared" si="9"/>
        <v>440.36</v>
      </c>
    </row>
    <row r="83" spans="10:17" x14ac:dyDescent="0.3">
      <c r="J83">
        <v>12.6</v>
      </c>
      <c r="K83">
        <f t="shared" si="5"/>
        <v>478.39968713260799</v>
      </c>
      <c r="L83">
        <f t="shared" si="6"/>
        <v>480.1743338349861</v>
      </c>
      <c r="N83">
        <v>8.5499999999999901</v>
      </c>
      <c r="O83">
        <f t="shared" si="7"/>
        <v>439.56241732021323</v>
      </c>
      <c r="P83">
        <f t="shared" si="8"/>
        <v>440.76283672183081</v>
      </c>
      <c r="Q83">
        <f t="shared" si="9"/>
        <v>440.76</v>
      </c>
    </row>
    <row r="84" spans="10:17" x14ac:dyDescent="0.3">
      <c r="J84">
        <v>12.7</v>
      </c>
      <c r="K84">
        <f t="shared" si="5"/>
        <v>479.56624179738299</v>
      </c>
      <c r="L84">
        <f t="shared" si="6"/>
        <v>481.36553413145708</v>
      </c>
      <c r="N84">
        <v>8.5999999999999908</v>
      </c>
      <c r="O84">
        <f t="shared" si="7"/>
        <v>439.96115587372788</v>
      </c>
      <c r="P84">
        <f t="shared" si="8"/>
        <v>441.16419270261088</v>
      </c>
      <c r="Q84">
        <f t="shared" si="9"/>
        <v>441.16</v>
      </c>
    </row>
    <row r="85" spans="10:17" x14ac:dyDescent="0.3">
      <c r="J85">
        <v>12.8</v>
      </c>
      <c r="K85">
        <f t="shared" si="5"/>
        <v>480.74548831348801</v>
      </c>
      <c r="L85">
        <f t="shared" si="6"/>
        <v>482.56998479080067</v>
      </c>
      <c r="N85">
        <v>8.6499999999999897</v>
      </c>
      <c r="O85">
        <f t="shared" si="7"/>
        <v>440.36160072108572</v>
      </c>
      <c r="P85">
        <f t="shared" si="8"/>
        <v>441.56735278176518</v>
      </c>
      <c r="Q85">
        <f t="shared" si="9"/>
        <v>441.57</v>
      </c>
    </row>
    <row r="86" spans="10:17" x14ac:dyDescent="0.3">
      <c r="J86">
        <v>12.9</v>
      </c>
      <c r="K86">
        <f t="shared" si="5"/>
        <v>481.93766632644304</v>
      </c>
      <c r="L86">
        <f t="shared" si="6"/>
        <v>483.78792810326388</v>
      </c>
      <c r="N86">
        <v>8.6999999999999904</v>
      </c>
      <c r="O86">
        <f t="shared" si="7"/>
        <v>440.76375810834293</v>
      </c>
      <c r="P86">
        <f t="shared" si="8"/>
        <v>441.97232374593432</v>
      </c>
      <c r="Q86">
        <f t="shared" si="9"/>
        <v>441.97</v>
      </c>
    </row>
    <row r="87" spans="10:17" x14ac:dyDescent="0.3">
      <c r="J87">
        <v>13</v>
      </c>
      <c r="K87">
        <f t="shared" si="5"/>
        <v>483.14302007999999</v>
      </c>
      <c r="L87">
        <f t="shared" si="6"/>
        <v>485.01961072055963</v>
      </c>
      <c r="N87">
        <v>8.7499999999999805</v>
      </c>
      <c r="O87">
        <f t="shared" si="7"/>
        <v>441.16763456894512</v>
      </c>
      <c r="P87">
        <f t="shared" si="8"/>
        <v>442.37911266717219</v>
      </c>
      <c r="Q87">
        <f t="shared" si="9"/>
        <v>442.38</v>
      </c>
    </row>
    <row r="88" spans="10:17" x14ac:dyDescent="0.3">
      <c r="J88">
        <v>13.1</v>
      </c>
      <c r="K88">
        <f t="shared" si="5"/>
        <v>484.36179841614296</v>
      </c>
      <c r="L88">
        <f t="shared" si="6"/>
        <v>486.26528363378929</v>
      </c>
      <c r="N88">
        <v>8.7999999999999794</v>
      </c>
      <c r="O88">
        <f t="shared" si="7"/>
        <v>441.57323692372785</v>
      </c>
      <c r="P88">
        <f t="shared" si="8"/>
        <v>442.78772690311416</v>
      </c>
      <c r="Q88">
        <f t="shared" si="9"/>
        <v>442.79</v>
      </c>
    </row>
    <row r="89" spans="10:17" x14ac:dyDescent="0.3">
      <c r="J89">
        <v>13.2</v>
      </c>
      <c r="K89">
        <f t="shared" si="5"/>
        <v>485.59425477508796</v>
      </c>
      <c r="L89">
        <f t="shared" si="6"/>
        <v>487.52520215018887</v>
      </c>
      <c r="N89">
        <v>8.8499999999999801</v>
      </c>
      <c r="O89">
        <f t="shared" si="7"/>
        <v>441.98057228091562</v>
      </c>
      <c r="P89">
        <f t="shared" si="8"/>
        <v>443.19817409713551</v>
      </c>
      <c r="Q89">
        <f t="shared" si="9"/>
        <v>443.2</v>
      </c>
    </row>
    <row r="90" spans="10:17" x14ac:dyDescent="0.3">
      <c r="J90">
        <v>13.3</v>
      </c>
      <c r="K90">
        <f t="shared" si="5"/>
        <v>486.840647195283</v>
      </c>
      <c r="L90">
        <f t="shared" si="6"/>
        <v>488.79962586866844</v>
      </c>
      <c r="N90">
        <v>8.8999999999999808</v>
      </c>
      <c r="O90">
        <f t="shared" si="7"/>
        <v>442.38964803612282</v>
      </c>
      <c r="P90">
        <f t="shared" si="8"/>
        <v>443.61046217851197</v>
      </c>
      <c r="Q90">
        <f t="shared" si="9"/>
        <v>443.61</v>
      </c>
    </row>
    <row r="91" spans="10:17" x14ac:dyDescent="0.3">
      <c r="J91">
        <v>13.4</v>
      </c>
      <c r="K91">
        <f t="shared" si="5"/>
        <v>488.10123831340798</v>
      </c>
      <c r="L91">
        <f t="shared" si="6"/>
        <v>490.08881865412286</v>
      </c>
      <c r="N91">
        <v>8.9499999999999797</v>
      </c>
      <c r="O91">
        <f t="shared" si="7"/>
        <v>442.80047187235311</v>
      </c>
      <c r="P91">
        <f t="shared" si="8"/>
        <v>444.02459936256895</v>
      </c>
      <c r="Q91">
        <f t="shared" si="9"/>
        <v>444.02</v>
      </c>
    </row>
    <row r="92" spans="10:17" x14ac:dyDescent="0.3">
      <c r="J92">
        <v>13.5</v>
      </c>
      <c r="K92">
        <f t="shared" si="5"/>
        <v>489.37629536437498</v>
      </c>
      <c r="L92">
        <f t="shared" si="6"/>
        <v>491.39304861049249</v>
      </c>
      <c r="N92">
        <v>8.9999999999999805</v>
      </c>
      <c r="O92">
        <f t="shared" si="7"/>
        <v>443.21305175999981</v>
      </c>
      <c r="P92">
        <f t="shared" si="8"/>
        <v>444.44059415083296</v>
      </c>
      <c r="Q92">
        <f t="shared" si="9"/>
        <v>444.44</v>
      </c>
    </row>
    <row r="93" spans="10:17" x14ac:dyDescent="0.3">
      <c r="J93">
        <v>13.6</v>
      </c>
      <c r="K93">
        <f t="shared" si="5"/>
        <v>490.666090181328</v>
      </c>
      <c r="L93">
        <f t="shared" si="6"/>
        <v>492.71258805254814</v>
      </c>
      <c r="N93">
        <v>9.0499999999999794</v>
      </c>
      <c r="O93">
        <f t="shared" si="7"/>
        <v>443.62739595684565</v>
      </c>
      <c r="P93">
        <f t="shared" si="8"/>
        <v>444.85845533117407</v>
      </c>
      <c r="Q93">
        <f t="shared" si="9"/>
        <v>444.86</v>
      </c>
    </row>
    <row r="94" spans="10:17" x14ac:dyDescent="0.3">
      <c r="J94">
        <v>13.7</v>
      </c>
      <c r="K94">
        <f t="shared" si="5"/>
        <v>491.97089919564291</v>
      </c>
      <c r="L94">
        <f t="shared" si="6"/>
        <v>494.04771347638342</v>
      </c>
      <c r="N94">
        <v>9.0999999999999801</v>
      </c>
      <c r="O94">
        <f t="shared" si="7"/>
        <v>444.0435130080628</v>
      </c>
      <c r="P94">
        <f t="shared" si="8"/>
        <v>445.27819197794594</v>
      </c>
      <c r="Q94">
        <f t="shared" si="9"/>
        <v>445.28</v>
      </c>
    </row>
    <row r="95" spans="10:17" x14ac:dyDescent="0.3">
      <c r="J95">
        <v>13.8</v>
      </c>
      <c r="K95">
        <f t="shared" si="5"/>
        <v>493.29100343692801</v>
      </c>
      <c r="L95">
        <f t="shared" si="6"/>
        <v>495.39870552859514</v>
      </c>
      <c r="N95">
        <v>9.1499999999999808</v>
      </c>
      <c r="O95">
        <f t="shared" si="7"/>
        <v>444.46141174621312</v>
      </c>
      <c r="P95">
        <f t="shared" si="8"/>
        <v>445.69981345212113</v>
      </c>
      <c r="Q95">
        <f t="shared" si="9"/>
        <v>445.7</v>
      </c>
    </row>
    <row r="96" spans="10:17" x14ac:dyDescent="0.3">
      <c r="J96">
        <v>13.9</v>
      </c>
      <c r="K96">
        <f t="shared" si="5"/>
        <v>494.62668853302301</v>
      </c>
      <c r="L96">
        <f t="shared" si="6"/>
        <v>496.76584897413744</v>
      </c>
      <c r="N96">
        <v>9.1999999999999797</v>
      </c>
      <c r="O96">
        <f t="shared" si="7"/>
        <v>444.88110129124783</v>
      </c>
      <c r="P96">
        <f t="shared" si="8"/>
        <v>446.12332940141835</v>
      </c>
      <c r="Q96">
        <f t="shared" si="9"/>
        <v>446.12</v>
      </c>
    </row>
    <row r="97" spans="10:17" x14ac:dyDescent="0.3">
      <c r="J97">
        <v>14</v>
      </c>
      <c r="K97">
        <f t="shared" si="5"/>
        <v>495.97824471000001</v>
      </c>
      <c r="L97">
        <f t="shared" si="6"/>
        <v>498.14943266283404</v>
      </c>
      <c r="N97">
        <v>9.2499999999999805</v>
      </c>
      <c r="O97">
        <f t="shared" si="7"/>
        <v>445.30259105050766</v>
      </c>
      <c r="P97">
        <f t="shared" si="8"/>
        <v>446.54874976043004</v>
      </c>
      <c r="Q97">
        <f t="shared" si="9"/>
        <v>446.55</v>
      </c>
    </row>
    <row r="98" spans="10:17" x14ac:dyDescent="0.3">
      <c r="J98">
        <v>14.1</v>
      </c>
      <c r="K98">
        <f t="shared" si="5"/>
        <v>497.34596679216298</v>
      </c>
      <c r="L98">
        <f t="shared" si="6"/>
        <v>499.54974949454225</v>
      </c>
      <c r="N98">
        <v>9.2999999999999794</v>
      </c>
      <c r="O98">
        <f t="shared" si="7"/>
        <v>445.72589071872278</v>
      </c>
      <c r="P98">
        <f t="shared" si="8"/>
        <v>446.97608475074037</v>
      </c>
      <c r="Q98">
        <f t="shared" si="9"/>
        <v>446.98</v>
      </c>
    </row>
    <row r="99" spans="10:17" x14ac:dyDescent="0.3">
      <c r="J99">
        <v>14.2</v>
      </c>
      <c r="K99">
        <f t="shared" si="5"/>
        <v>498.73015420204797</v>
      </c>
      <c r="L99">
        <f t="shared" si="6"/>
        <v>500.96709638295567</v>
      </c>
      <c r="N99">
        <v>9.3499999999999801</v>
      </c>
      <c r="O99">
        <f t="shared" si="7"/>
        <v>446.15101027801313</v>
      </c>
      <c r="P99">
        <f t="shared" si="8"/>
        <v>447.40534488104055</v>
      </c>
      <c r="Q99">
        <f t="shared" si="9"/>
        <v>447.41</v>
      </c>
    </row>
    <row r="100" spans="10:17" x14ac:dyDescent="0.3">
      <c r="J100">
        <v>14.3</v>
      </c>
      <c r="K100">
        <f t="shared" si="5"/>
        <v>500.13111096042297</v>
      </c>
      <c r="L100">
        <f t="shared" si="6"/>
        <v>502.40177421805072</v>
      </c>
      <c r="N100">
        <v>9.3999999999999808</v>
      </c>
      <c r="O100">
        <f t="shared" si="7"/>
        <v>446.57795999788783</v>
      </c>
      <c r="P100">
        <f t="shared" si="8"/>
        <v>447.83654094723664</v>
      </c>
      <c r="Q100">
        <f t="shared" si="9"/>
        <v>447.84</v>
      </c>
    </row>
    <row r="101" spans="10:17" x14ac:dyDescent="0.3">
      <c r="J101">
        <v>14.4</v>
      </c>
      <c r="K101">
        <f t="shared" si="5"/>
        <v>501.54914568628794</v>
      </c>
      <c r="L101">
        <f t="shared" si="6"/>
        <v>503.85408782717121</v>
      </c>
      <c r="N101">
        <v>9.4499999999999797</v>
      </c>
      <c r="O101">
        <f t="shared" si="7"/>
        <v>447.00675043524564</v>
      </c>
      <c r="P101">
        <f t="shared" si="8"/>
        <v>448.26968403255404</v>
      </c>
      <c r="Q101">
        <f t="shared" si="9"/>
        <v>448.27</v>
      </c>
    </row>
    <row r="102" spans="10:17" x14ac:dyDescent="0.3">
      <c r="J102">
        <v>14.5</v>
      </c>
      <c r="K102">
        <f t="shared" si="5"/>
        <v>502.98457159687496</v>
      </c>
      <c r="L102">
        <f t="shared" si="6"/>
        <v>505.32434593475779</v>
      </c>
      <c r="N102">
        <v>9.4999999999999805</v>
      </c>
      <c r="O102">
        <f t="shared" si="7"/>
        <v>447.43739243437483</v>
      </c>
      <c r="P102">
        <f t="shared" si="8"/>
        <v>448.70478550763562</v>
      </c>
      <c r="Q102">
        <f t="shared" si="9"/>
        <v>448.7</v>
      </c>
    </row>
    <row r="103" spans="10:17" x14ac:dyDescent="0.3">
      <c r="J103">
        <v>14.6</v>
      </c>
      <c r="K103">
        <f t="shared" si="5"/>
        <v>504.43770650764799</v>
      </c>
      <c r="L103">
        <f t="shared" si="6"/>
        <v>506.81286112073587</v>
      </c>
      <c r="N103">
        <v>9.5499999999999794</v>
      </c>
      <c r="O103">
        <f t="shared" si="7"/>
        <v>447.86989712695311</v>
      </c>
      <c r="P103">
        <f t="shared" si="8"/>
        <v>449.14185703063214</v>
      </c>
      <c r="Q103">
        <f t="shared" si="9"/>
        <v>449.14</v>
      </c>
    </row>
    <row r="104" spans="10:17" x14ac:dyDescent="0.3">
      <c r="J104">
        <v>14.7</v>
      </c>
      <c r="K104">
        <f t="shared" si="5"/>
        <v>505.90887283230296</v>
      </c>
      <c r="L104">
        <f t="shared" si="6"/>
        <v>508.31994977757614</v>
      </c>
      <c r="N104">
        <v>9.5999999999999801</v>
      </c>
      <c r="O104">
        <f t="shared" si="7"/>
        <v>448.3042759320478</v>
      </c>
      <c r="P104">
        <f t="shared" si="8"/>
        <v>449.58091054729113</v>
      </c>
      <c r="Q104">
        <f t="shared" si="9"/>
        <v>449.58</v>
      </c>
    </row>
    <row r="105" spans="10:17" x14ac:dyDescent="0.3">
      <c r="J105">
        <v>14.8</v>
      </c>
      <c r="K105">
        <f t="shared" si="5"/>
        <v>507.39839758276798</v>
      </c>
      <c r="L105">
        <f t="shared" si="6"/>
        <v>509.84593206605052</v>
      </c>
      <c r="N105">
        <v>9.6499999999999808</v>
      </c>
      <c r="O105">
        <f t="shared" si="7"/>
        <v>448.74054055611566</v>
      </c>
      <c r="P105">
        <f t="shared" si="8"/>
        <v>450.02195829103476</v>
      </c>
      <c r="Q105">
        <f t="shared" si="9"/>
        <v>450.02</v>
      </c>
    </row>
    <row r="106" spans="10:17" x14ac:dyDescent="0.3">
      <c r="J106">
        <v>14.9</v>
      </c>
      <c r="K106">
        <f t="shared" si="5"/>
        <v>508.906612369203</v>
      </c>
      <c r="L106">
        <f t="shared" si="6"/>
        <v>511.39113186971173</v>
      </c>
      <c r="N106">
        <v>9.6999999999999797</v>
      </c>
      <c r="O106">
        <f t="shared" si="7"/>
        <v>449.17870299300279</v>
      </c>
      <c r="P106">
        <f t="shared" si="8"/>
        <v>450.46501278303526</v>
      </c>
      <c r="Q106">
        <f t="shared" si="9"/>
        <v>450.47</v>
      </c>
    </row>
    <row r="107" spans="10:17" x14ac:dyDescent="0.3">
      <c r="J107">
        <v>15</v>
      </c>
      <c r="K107">
        <f t="shared" si="5"/>
        <v>510.43385339999998</v>
      </c>
      <c r="L107">
        <f t="shared" si="6"/>
        <v>512.95587674813862</v>
      </c>
      <c r="N107">
        <v>9.7499999999999805</v>
      </c>
      <c r="O107">
        <f t="shared" si="7"/>
        <v>449.61877552394515</v>
      </c>
      <c r="P107">
        <f t="shared" si="8"/>
        <v>450.91008683228284</v>
      </c>
      <c r="Q107">
        <f t="shared" si="9"/>
        <v>450.91</v>
      </c>
    </row>
    <row r="108" spans="10:17" x14ac:dyDescent="0.3">
      <c r="J108">
        <v>15.1</v>
      </c>
      <c r="K108">
        <f t="shared" si="5"/>
        <v>511.98046148178298</v>
      </c>
      <c r="L108">
        <f t="shared" si="6"/>
        <v>514.54049788898487</v>
      </c>
      <c r="N108">
        <v>9.7999999999999794</v>
      </c>
      <c r="O108">
        <f t="shared" si="7"/>
        <v>450.06077071756783</v>
      </c>
      <c r="P108">
        <f t="shared" si="8"/>
        <v>451.3571935356465</v>
      </c>
      <c r="Q108">
        <f t="shared" si="9"/>
        <v>451.36</v>
      </c>
    </row>
    <row r="109" spans="10:17" x14ac:dyDescent="0.3">
      <c r="J109">
        <v>15.2</v>
      </c>
      <c r="K109">
        <f t="shared" si="5"/>
        <v>513.54678201940806</v>
      </c>
      <c r="L109">
        <f t="shared" si="6"/>
        <v>516.14533005889325</v>
      </c>
      <c r="N109">
        <v>9.8499999999999801</v>
      </c>
      <c r="O109">
        <f t="shared" si="7"/>
        <v>450.50470142988564</v>
      </c>
      <c r="P109">
        <f t="shared" si="8"/>
        <v>451.80634627792921</v>
      </c>
      <c r="Q109">
        <f t="shared" si="9"/>
        <v>451.81</v>
      </c>
    </row>
    <row r="110" spans="10:17" x14ac:dyDescent="0.3">
      <c r="J110">
        <v>15.3</v>
      </c>
      <c r="K110">
        <f t="shared" si="5"/>
        <v>515.13316501596296</v>
      </c>
      <c r="L110">
        <f t="shared" si="6"/>
        <v>517.77071155333283</v>
      </c>
      <c r="N110">
        <v>9.8999999999999808</v>
      </c>
      <c r="O110">
        <f t="shared" si="7"/>
        <v>450.95058080430283</v>
      </c>
      <c r="P110">
        <f t="shared" si="8"/>
        <v>452.25755873191702</v>
      </c>
      <c r="Q110">
        <f t="shared" si="9"/>
        <v>452.26</v>
      </c>
    </row>
    <row r="111" spans="10:17" x14ac:dyDescent="0.3">
      <c r="J111">
        <v>15.4</v>
      </c>
      <c r="K111">
        <f t="shared" si="5"/>
        <v>516.73996507276797</v>
      </c>
      <c r="L111">
        <f t="shared" si="6"/>
        <v>519.41698414544089</v>
      </c>
      <c r="N111">
        <v>9.9499999999999797</v>
      </c>
      <c r="O111">
        <f t="shared" si="7"/>
        <v>451.39842227161313</v>
      </c>
      <c r="P111">
        <f t="shared" si="8"/>
        <v>452.71084485841953</v>
      </c>
      <c r="Q111">
        <f t="shared" si="9"/>
        <v>452.71</v>
      </c>
    </row>
    <row r="112" spans="10:17" x14ac:dyDescent="0.3">
      <c r="J112">
        <v>15.5</v>
      </c>
      <c r="K112">
        <f t="shared" si="5"/>
        <v>518.36754138937499</v>
      </c>
      <c r="L112">
        <f t="shared" si="6"/>
        <v>521.08449303395093</v>
      </c>
      <c r="N112">
        <v>9.9999999999999805</v>
      </c>
      <c r="O112">
        <f t="shared" si="7"/>
        <v>451.84823954999979</v>
      </c>
      <c r="P112">
        <f t="shared" si="8"/>
        <v>453.16621890630483</v>
      </c>
      <c r="Q112">
        <f t="shared" si="9"/>
        <v>453.17</v>
      </c>
    </row>
    <row r="113" spans="10:17" x14ac:dyDescent="0.3">
      <c r="J113">
        <v>15.6</v>
      </c>
      <c r="K113">
        <f t="shared" si="5"/>
        <v>520.01625776356798</v>
      </c>
      <c r="L113">
        <f t="shared" si="6"/>
        <v>522.77358679030783</v>
      </c>
      <c r="N113">
        <v>10.050000000000001</v>
      </c>
      <c r="O113">
        <f t="shared" si="7"/>
        <v>452.30004664503582</v>
      </c>
      <c r="P113">
        <f t="shared" si="8"/>
        <v>453.6236954125273</v>
      </c>
      <c r="Q113">
        <f t="shared" si="9"/>
        <v>453.62</v>
      </c>
    </row>
    <row r="114" spans="10:17" x14ac:dyDescent="0.3">
      <c r="J114">
        <v>15.7</v>
      </c>
      <c r="K114">
        <f t="shared" si="5"/>
        <v>521.68648259136296</v>
      </c>
      <c r="L114">
        <f t="shared" si="6"/>
        <v>524.4846173050862</v>
      </c>
      <c r="N114">
        <v>10.1</v>
      </c>
      <c r="O114">
        <f t="shared" si="7"/>
        <v>452.75385784968296</v>
      </c>
      <c r="P114">
        <f t="shared" si="8"/>
        <v>454.08328920214751</v>
      </c>
      <c r="Q114">
        <f t="shared" si="9"/>
        <v>454.08</v>
      </c>
    </row>
    <row r="115" spans="10:17" x14ac:dyDescent="0.3">
      <c r="J115">
        <v>15.8</v>
      </c>
      <c r="K115">
        <f t="shared" si="5"/>
        <v>523.37858886700803</v>
      </c>
      <c r="L115">
        <f t="shared" si="6"/>
        <v>526.21793973383694</v>
      </c>
      <c r="N115">
        <v>10.15</v>
      </c>
      <c r="O115">
        <f t="shared" si="7"/>
        <v>453.20968774429332</v>
      </c>
      <c r="P115">
        <f t="shared" si="8"/>
        <v>454.54501538834626</v>
      </c>
      <c r="Q115">
        <f t="shared" si="9"/>
        <v>454.55</v>
      </c>
    </row>
    <row r="116" spans="10:17" x14ac:dyDescent="0.3">
      <c r="J116">
        <v>15.9</v>
      </c>
      <c r="K116">
        <f t="shared" si="5"/>
        <v>525.09295418298302</v>
      </c>
      <c r="L116">
        <f t="shared" si="6"/>
        <v>527.9739124425073</v>
      </c>
      <c r="N116">
        <v>10.199999999999999</v>
      </c>
      <c r="O116">
        <f t="shared" si="7"/>
        <v>453.66755119660797</v>
      </c>
      <c r="P116">
        <f t="shared" si="8"/>
        <v>455.00888937242797</v>
      </c>
      <c r="Q116">
        <f t="shared" si="9"/>
        <v>455.01</v>
      </c>
    </row>
    <row r="117" spans="10:17" x14ac:dyDescent="0.3">
      <c r="J117">
        <v>16</v>
      </c>
      <c r="K117">
        <f t="shared" si="5"/>
        <v>526.82996073000004</v>
      </c>
      <c r="L117">
        <f t="shared" si="6"/>
        <v>529.7528969525971</v>
      </c>
      <c r="N117">
        <v>10.25</v>
      </c>
      <c r="O117">
        <f t="shared" si="7"/>
        <v>454.1274633617578</v>
      </c>
      <c r="P117">
        <f t="shared" si="8"/>
        <v>455.47492684382087</v>
      </c>
      <c r="Q117">
        <f t="shared" si="9"/>
        <v>455.47</v>
      </c>
    </row>
    <row r="118" spans="10:17" x14ac:dyDescent="0.3">
      <c r="J118">
        <v>16.100000000000001</v>
      </c>
      <c r="K118">
        <f t="shared" si="5"/>
        <v>528.58999529700304</v>
      </c>
      <c r="L118">
        <f t="shared" si="6"/>
        <v>531.55525788623311</v>
      </c>
      <c r="N118">
        <v>10.3</v>
      </c>
      <c r="O118">
        <f t="shared" si="7"/>
        <v>454.58943968226299</v>
      </c>
      <c r="P118">
        <f t="shared" si="8"/>
        <v>455.94314378006584</v>
      </c>
      <c r="Q118">
        <f t="shared" si="9"/>
        <v>455.94</v>
      </c>
    </row>
    <row r="119" spans="10:17" x14ac:dyDescent="0.3">
      <c r="J119">
        <v>16.2</v>
      </c>
      <c r="K119">
        <f t="shared" si="5"/>
        <v>530.37344927116806</v>
      </c>
      <c r="L119">
        <f t="shared" si="6"/>
        <v>533.38136291135993</v>
      </c>
      <c r="N119">
        <v>10.35</v>
      </c>
      <c r="O119">
        <f t="shared" si="7"/>
        <v>455.0534958880333</v>
      </c>
      <c r="P119">
        <f t="shared" si="8"/>
        <v>456.41355644679811</v>
      </c>
      <c r="Q119">
        <f t="shared" si="9"/>
        <v>456.41</v>
      </c>
    </row>
    <row r="120" spans="10:17" x14ac:dyDescent="0.3">
      <c r="J120">
        <v>16.3</v>
      </c>
      <c r="K120">
        <f t="shared" si="5"/>
        <v>532.18071863790294</v>
      </c>
      <c r="L120">
        <f t="shared" si="6"/>
        <v>535.23158268727173</v>
      </c>
      <c r="N120">
        <v>10.4</v>
      </c>
      <c r="O120">
        <f t="shared" si="7"/>
        <v>455.51964799636801</v>
      </c>
      <c r="P120">
        <f t="shared" si="8"/>
        <v>456.88618139772285</v>
      </c>
      <c r="Q120">
        <f t="shared" si="9"/>
        <v>456.89</v>
      </c>
    </row>
    <row r="121" spans="10:17" x14ac:dyDescent="0.3">
      <c r="J121">
        <v>16.399999999999999</v>
      </c>
      <c r="K121">
        <f t="shared" si="5"/>
        <v>534.01220398084797</v>
      </c>
      <c r="L121">
        <f t="shared" si="6"/>
        <v>537.10629081073591</v>
      </c>
      <c r="N121">
        <v>10.45</v>
      </c>
      <c r="O121">
        <f t="shared" si="7"/>
        <v>455.98791231195582</v>
      </c>
      <c r="P121">
        <f t="shared" si="8"/>
        <v>457.36103547457992</v>
      </c>
      <c r="Q121">
        <f t="shared" si="9"/>
        <v>457.36</v>
      </c>
    </row>
    <row r="122" spans="10:17" x14ac:dyDescent="0.3">
      <c r="J122">
        <v>16.5</v>
      </c>
      <c r="K122">
        <f t="shared" si="5"/>
        <v>535.86831048187491</v>
      </c>
      <c r="L122">
        <f t="shared" si="6"/>
        <v>539.00586376297201</v>
      </c>
      <c r="N122">
        <v>10.5</v>
      </c>
      <c r="O122">
        <f t="shared" si="7"/>
        <v>456.45830542687497</v>
      </c>
      <c r="P122">
        <f t="shared" si="8"/>
        <v>457.8381358071012</v>
      </c>
      <c r="Q122">
        <f t="shared" si="9"/>
        <v>457.84</v>
      </c>
    </row>
    <row r="123" spans="10:17" x14ac:dyDescent="0.3">
      <c r="J123">
        <v>16.600000000000001</v>
      </c>
      <c r="K123">
        <f t="shared" si="5"/>
        <v>537.74944792108795</v>
      </c>
      <c r="L123">
        <f t="shared" si="6"/>
        <v>540.93068085779407</v>
      </c>
      <c r="N123">
        <v>10.55</v>
      </c>
      <c r="O123">
        <f t="shared" si="7"/>
        <v>456.93084422059331</v>
      </c>
      <c r="P123">
        <f t="shared" si="8"/>
        <v>458.31749981296088</v>
      </c>
      <c r="Q123">
        <f t="shared" si="9"/>
        <v>458.32</v>
      </c>
    </row>
    <row r="124" spans="10:17" x14ac:dyDescent="0.3">
      <c r="J124">
        <v>16.7</v>
      </c>
      <c r="K124">
        <f t="shared" si="5"/>
        <v>539.65603067682287</v>
      </c>
      <c r="L124">
        <f t="shared" si="6"/>
        <v>542.88112419124127</v>
      </c>
      <c r="N124">
        <v>10.6</v>
      </c>
      <c r="O124">
        <f t="shared" si="7"/>
        <v>457.40554585996802</v>
      </c>
      <c r="P124">
        <f t="shared" si="8"/>
        <v>458.79914519771415</v>
      </c>
      <c r="Q124">
        <f t="shared" si="9"/>
        <v>458.8</v>
      </c>
    </row>
    <row r="125" spans="10:17" x14ac:dyDescent="0.3">
      <c r="J125">
        <v>16.8</v>
      </c>
      <c r="K125">
        <f t="shared" si="5"/>
        <v>541.58847772564786</v>
      </c>
      <c r="L125">
        <f t="shared" si="6"/>
        <v>544.85757859305579</v>
      </c>
      <c r="N125">
        <v>10.65</v>
      </c>
      <c r="O125">
        <f t="shared" si="7"/>
        <v>457.88242779924582</v>
      </c>
      <c r="P125">
        <f t="shared" si="8"/>
        <v>459.28308995472906</v>
      </c>
      <c r="Q125">
        <f t="shared" si="9"/>
        <v>459.28</v>
      </c>
    </row>
    <row r="126" spans="10:17" x14ac:dyDescent="0.3">
      <c r="J126">
        <v>16.899999999999999</v>
      </c>
      <c r="K126">
        <f t="shared" si="5"/>
        <v>543.54721264236298</v>
      </c>
      <c r="L126">
        <f t="shared" si="6"/>
        <v>546.8604315804057</v>
      </c>
      <c r="N126">
        <v>10.7</v>
      </c>
      <c r="O126">
        <f t="shared" si="7"/>
        <v>458.36150778006299</v>
      </c>
      <c r="P126">
        <f t="shared" si="8"/>
        <v>459.76935236511036</v>
      </c>
      <c r="Q126">
        <f t="shared" si="9"/>
        <v>459.77</v>
      </c>
    </row>
    <row r="127" spans="10:17" x14ac:dyDescent="0.3">
      <c r="J127">
        <v>17</v>
      </c>
      <c r="K127">
        <f t="shared" si="5"/>
        <v>545.53266359999998</v>
      </c>
      <c r="L127">
        <f t="shared" si="6"/>
        <v>548.89007331427968</v>
      </c>
      <c r="N127">
        <v>10.75</v>
      </c>
      <c r="O127">
        <f t="shared" si="7"/>
        <v>458.84280383144528</v>
      </c>
      <c r="P127">
        <f t="shared" si="8"/>
        <v>460.25795099761012</v>
      </c>
      <c r="Q127">
        <f t="shared" si="9"/>
        <v>460.26</v>
      </c>
    </row>
    <row r="128" spans="10:17" x14ac:dyDescent="0.3">
      <c r="J128">
        <v>17.100000000000001</v>
      </c>
      <c r="K128">
        <f t="shared" si="5"/>
        <v>547.54526336982303</v>
      </c>
      <c r="L128">
        <f t="shared" si="6"/>
        <v>550.94689655902016</v>
      </c>
      <c r="N128">
        <v>10.8</v>
      </c>
      <c r="O128">
        <f t="shared" si="7"/>
        <v>459.326334269808</v>
      </c>
      <c r="P128">
        <f t="shared" si="8"/>
        <v>460.74890470853336</v>
      </c>
      <c r="Q128">
        <f t="shared" si="9"/>
        <v>460.75</v>
      </c>
    </row>
    <row r="129" spans="10:17" x14ac:dyDescent="0.3">
      <c r="J129">
        <v>17.2</v>
      </c>
      <c r="K129">
        <f t="shared" si="5"/>
        <v>549.58544932132804</v>
      </c>
      <c r="L129">
        <f t="shared" si="6"/>
        <v>553.03129664551068</v>
      </c>
      <c r="N129">
        <v>10.85</v>
      </c>
      <c r="O129">
        <f t="shared" si="7"/>
        <v>459.81211769895583</v>
      </c>
      <c r="P129">
        <f t="shared" si="8"/>
        <v>461.24223264163288</v>
      </c>
      <c r="Q129">
        <f t="shared" si="9"/>
        <v>461.24</v>
      </c>
    </row>
    <row r="130" spans="10:17" x14ac:dyDescent="0.3">
      <c r="J130" s="3">
        <v>17.3</v>
      </c>
      <c r="K130" s="3">
        <f t="shared" si="5"/>
        <v>551.65366342224308</v>
      </c>
      <c r="L130" s="3">
        <f t="shared" si="6"/>
        <v>555.14367143856646</v>
      </c>
      <c r="N130">
        <v>10.9</v>
      </c>
      <c r="O130">
        <f t="shared" si="7"/>
        <v>460.30017301008297</v>
      </c>
      <c r="P130">
        <f t="shared" si="8"/>
        <v>461.73795422799202</v>
      </c>
      <c r="Q130">
        <f t="shared" si="9"/>
        <v>461.74</v>
      </c>
    </row>
    <row r="131" spans="10:17" x14ac:dyDescent="0.3">
      <c r="J131">
        <v>17.399999999999999</v>
      </c>
      <c r="K131">
        <f t="shared" ref="K131:K142" si="10">0.00191593*J131^4-0.05777151*J131^3+0.98154584*J131^2-0.94698723*J131+401.77573785</f>
        <v>553.75035223852797</v>
      </c>
      <c r="L131">
        <f t="shared" ref="L131:L142" si="11">3.7*(0.000000000646*K131^4-0.0000015648*K131^3+0.0013882318*K131^2-0.5311145615*K131+74.3371688691)+K131</f>
        <v>557.28442130912663</v>
      </c>
      <c r="N131">
        <v>10.95</v>
      </c>
      <c r="O131">
        <f t="shared" ref="O131:O194" si="12">0.00191593*N131^4-0.05777151*N131^3+0.98154584*N131^2-0.94698723*N131+401.77573785</f>
        <v>460.79051938177327</v>
      </c>
      <c r="P131">
        <f t="shared" ref="P131:P194" si="13">3.7*(0.000000000646*O131^4-0.0000015648*O131^3+0.0013882318*O131^2-0.5311145615*O131+74.3371688691)+O131</f>
        <v>462.23608918590213</v>
      </c>
      <c r="Q131">
        <f t="shared" ref="Q131:Q194" si="14">ROUND(P131,2)</f>
        <v>462.24</v>
      </c>
    </row>
    <row r="132" spans="10:17" x14ac:dyDescent="0.3">
      <c r="J132">
        <v>17.5</v>
      </c>
      <c r="K132">
        <f t="shared" si="10"/>
        <v>555.87596693437501</v>
      </c>
      <c r="L132">
        <f t="shared" si="11"/>
        <v>559.45394911190783</v>
      </c>
      <c r="N132">
        <v>11</v>
      </c>
      <c r="O132">
        <f t="shared" si="12"/>
        <v>461.28317628000002</v>
      </c>
      <c r="P132">
        <f t="shared" si="13"/>
        <v>462.73665752072492</v>
      </c>
      <c r="Q132">
        <f t="shared" si="14"/>
        <v>462.74</v>
      </c>
    </row>
    <row r="133" spans="10:17" x14ac:dyDescent="0.3">
      <c r="J133">
        <v>17.600000000000001</v>
      </c>
      <c r="K133">
        <f t="shared" si="10"/>
        <v>558.03096327220794</v>
      </c>
      <c r="L133">
        <f t="shared" si="11"/>
        <v>561.65266016921032</v>
      </c>
      <c r="N133">
        <v>11.05</v>
      </c>
      <c r="O133">
        <f t="shared" si="12"/>
        <v>461.77816345812579</v>
      </c>
      <c r="P133">
        <f t="shared" si="13"/>
        <v>463.23967952474823</v>
      </c>
      <c r="Q133">
        <f t="shared" si="14"/>
        <v>463.24</v>
      </c>
    </row>
    <row r="134" spans="10:17" x14ac:dyDescent="0.3">
      <c r="J134">
        <v>17.7</v>
      </c>
      <c r="K134">
        <f t="shared" si="10"/>
        <v>560.21580161268298</v>
      </c>
      <c r="L134">
        <f t="shared" si="11"/>
        <v>563.8809622616526</v>
      </c>
      <c r="N134">
        <v>11.1</v>
      </c>
      <c r="O134">
        <f t="shared" si="12"/>
        <v>462.27550095690299</v>
      </c>
      <c r="P134">
        <f t="shared" si="13"/>
        <v>463.74517577703051</v>
      </c>
      <c r="Q134">
        <f t="shared" si="14"/>
        <v>463.75</v>
      </c>
    </row>
    <row r="135" spans="10:17" x14ac:dyDescent="0.3">
      <c r="J135">
        <v>17.8</v>
      </c>
      <c r="K135">
        <f t="shared" si="10"/>
        <v>562.43094691468809</v>
      </c>
      <c r="L135">
        <f t="shared" si="11"/>
        <v>566.13926562664346</v>
      </c>
      <c r="N135">
        <v>11.15</v>
      </c>
      <c r="O135">
        <f t="shared" si="12"/>
        <v>462.77520910447328</v>
      </c>
      <c r="P135">
        <f t="shared" si="13"/>
        <v>464.25316714323469</v>
      </c>
      <c r="Q135">
        <f t="shared" si="14"/>
        <v>464.25</v>
      </c>
    </row>
    <row r="136" spans="10:17" x14ac:dyDescent="0.3">
      <c r="J136">
        <v>17.899999999999999</v>
      </c>
      <c r="K136">
        <f t="shared" si="10"/>
        <v>564.67686873534296</v>
      </c>
      <c r="L136">
        <f t="shared" si="11"/>
        <v>568.42798296548779</v>
      </c>
      <c r="N136">
        <v>11.2</v>
      </c>
      <c r="O136">
        <f t="shared" si="12"/>
        <v>463.27730851636795</v>
      </c>
      <c r="P136">
        <f t="shared" si="13"/>
        <v>464.76367477545051</v>
      </c>
      <c r="Q136">
        <f t="shared" si="14"/>
        <v>464.76</v>
      </c>
    </row>
    <row r="137" spans="10:17" x14ac:dyDescent="0.3">
      <c r="J137">
        <v>18</v>
      </c>
      <c r="K137">
        <f t="shared" si="10"/>
        <v>566.95404123000003</v>
      </c>
      <c r="L137">
        <f t="shared" si="11"/>
        <v>570.74752946007573</v>
      </c>
      <c r="N137">
        <v>11.25</v>
      </c>
      <c r="O137">
        <f t="shared" si="12"/>
        <v>463.78182009550778</v>
      </c>
      <c r="P137">
        <f t="shared" si="13"/>
        <v>465.27672011200667</v>
      </c>
      <c r="Q137">
        <f t="shared" si="14"/>
        <v>465.28</v>
      </c>
    </row>
    <row r="138" spans="10:17" x14ac:dyDescent="0.3">
      <c r="J138">
        <v>18.100000000000001</v>
      </c>
      <c r="K138">
        <f t="shared" si="10"/>
        <v>569.262943152243</v>
      </c>
      <c r="L138">
        <f t="shared" si="11"/>
        <v>573.098322800186</v>
      </c>
      <c r="N138">
        <v>11.3</v>
      </c>
      <c r="O138">
        <f t="shared" si="12"/>
        <v>464.288765032203</v>
      </c>
      <c r="P138">
        <f t="shared" si="13"/>
        <v>465.79232487727262</v>
      </c>
      <c r="Q138">
        <f t="shared" si="14"/>
        <v>465.79</v>
      </c>
    </row>
    <row r="139" spans="10:17" x14ac:dyDescent="0.3">
      <c r="J139">
        <v>18.2</v>
      </c>
      <c r="K139">
        <f t="shared" si="10"/>
        <v>571.60405785388798</v>
      </c>
      <c r="L139">
        <f t="shared" si="11"/>
        <v>575.48078322251251</v>
      </c>
      <c r="N139">
        <v>11.35</v>
      </c>
      <c r="O139">
        <f t="shared" si="12"/>
        <v>464.79816480415332</v>
      </c>
      <c r="P139">
        <f t="shared" si="13"/>
        <v>466.31051108144732</v>
      </c>
      <c r="Q139">
        <f t="shared" si="14"/>
        <v>466.31</v>
      </c>
    </row>
    <row r="140" spans="10:17" x14ac:dyDescent="0.3">
      <c r="J140">
        <v>18.3</v>
      </c>
      <c r="K140">
        <f t="shared" si="10"/>
        <v>573.97787328498305</v>
      </c>
      <c r="L140">
        <f t="shared" si="11"/>
        <v>577.89533356259608</v>
      </c>
      <c r="N140">
        <v>11.4</v>
      </c>
      <c r="O140">
        <f t="shared" si="12"/>
        <v>465.31004117644801</v>
      </c>
      <c r="P140">
        <f t="shared" si="13"/>
        <v>466.83130102033795</v>
      </c>
      <c r="Q140">
        <f t="shared" si="14"/>
        <v>466.83</v>
      </c>
    </row>
    <row r="141" spans="10:17" x14ac:dyDescent="0.3">
      <c r="J141">
        <v>18.399999999999999</v>
      </c>
      <c r="K141">
        <f t="shared" si="10"/>
        <v>576.38488199380799</v>
      </c>
      <c r="L141">
        <f t="shared" si="11"/>
        <v>580.34239932094658</v>
      </c>
      <c r="N141">
        <v>11.45</v>
      </c>
      <c r="O141">
        <f t="shared" si="12"/>
        <v>465.82441620156578</v>
      </c>
      <c r="P141">
        <f t="shared" si="13"/>
        <v>467.35471727512663</v>
      </c>
      <c r="Q141">
        <f t="shared" si="14"/>
        <v>467.35</v>
      </c>
    </row>
    <row r="142" spans="10:17" x14ac:dyDescent="0.3">
      <c r="J142">
        <v>18.5</v>
      </c>
      <c r="K142">
        <f t="shared" si="10"/>
        <v>578.82558112687502</v>
      </c>
      <c r="L142">
        <f t="shared" si="11"/>
        <v>582.82240874472063</v>
      </c>
      <c r="N142">
        <v>11.5</v>
      </c>
      <c r="O142">
        <f t="shared" si="12"/>
        <v>466.34131221937497</v>
      </c>
      <c r="P142">
        <f t="shared" si="13"/>
        <v>467.88078271212379</v>
      </c>
      <c r="Q142">
        <f t="shared" si="14"/>
        <v>467.88</v>
      </c>
    </row>
    <row r="143" spans="10:17" x14ac:dyDescent="0.3">
      <c r="N143">
        <v>11.55</v>
      </c>
      <c r="O143">
        <f t="shared" si="12"/>
        <v>466.86075185713327</v>
      </c>
      <c r="P143">
        <f t="shared" si="13"/>
        <v>468.40952048251341</v>
      </c>
      <c r="Q143">
        <f t="shared" si="14"/>
        <v>468.41</v>
      </c>
    </row>
    <row r="144" spans="10:17" x14ac:dyDescent="0.3">
      <c r="N144">
        <v>11.6</v>
      </c>
      <c r="O144">
        <f t="shared" si="12"/>
        <v>467.38275802948795</v>
      </c>
      <c r="P144">
        <f t="shared" si="13"/>
        <v>468.94095402208012</v>
      </c>
      <c r="Q144">
        <f t="shared" si="14"/>
        <v>468.94</v>
      </c>
    </row>
    <row r="145" spans="14:17" x14ac:dyDescent="0.3">
      <c r="N145">
        <v>11.65</v>
      </c>
      <c r="O145">
        <f t="shared" si="12"/>
        <v>467.90735393847581</v>
      </c>
      <c r="P145">
        <f t="shared" si="13"/>
        <v>469.47510705092986</v>
      </c>
      <c r="Q145">
        <f t="shared" si="14"/>
        <v>469.48</v>
      </c>
    </row>
    <row r="146" spans="14:17" x14ac:dyDescent="0.3">
      <c r="N146">
        <v>11.7</v>
      </c>
      <c r="O146">
        <f t="shared" si="12"/>
        <v>468.43456307352301</v>
      </c>
      <c r="P146">
        <f t="shared" si="13"/>
        <v>470.01200357319323</v>
      </c>
      <c r="Q146">
        <f t="shared" si="14"/>
        <v>470.01</v>
      </c>
    </row>
    <row r="147" spans="14:17" x14ac:dyDescent="0.3">
      <c r="N147">
        <v>11.75</v>
      </c>
      <c r="O147">
        <f t="shared" si="12"/>
        <v>468.96440921144529</v>
      </c>
      <c r="P147">
        <f t="shared" si="13"/>
        <v>470.55166787671862</v>
      </c>
      <c r="Q147">
        <f t="shared" si="14"/>
        <v>470.55</v>
      </c>
    </row>
    <row r="148" spans="14:17" x14ac:dyDescent="0.3">
      <c r="N148">
        <v>11.8</v>
      </c>
      <c r="O148">
        <f t="shared" si="12"/>
        <v>469.49691641644802</v>
      </c>
      <c r="P148">
        <f t="shared" si="13"/>
        <v>471.09412453275189</v>
      </c>
      <c r="Q148">
        <f t="shared" si="14"/>
        <v>471.09</v>
      </c>
    </row>
    <row r="149" spans="14:17" x14ac:dyDescent="0.3">
      <c r="N149">
        <v>11.85</v>
      </c>
      <c r="O149">
        <f t="shared" si="12"/>
        <v>470.03210904012576</v>
      </c>
      <c r="P149">
        <f t="shared" si="13"/>
        <v>471.63939839560067</v>
      </c>
      <c r="Q149">
        <f t="shared" si="14"/>
        <v>471.64</v>
      </c>
    </row>
    <row r="150" spans="14:17" x14ac:dyDescent="0.3">
      <c r="N150">
        <v>11.9</v>
      </c>
      <c r="O150">
        <f t="shared" si="12"/>
        <v>470.570011721463</v>
      </c>
      <c r="P150">
        <f t="shared" si="13"/>
        <v>472.18751460228941</v>
      </c>
      <c r="Q150">
        <f t="shared" si="14"/>
        <v>472.19</v>
      </c>
    </row>
    <row r="151" spans="14:17" x14ac:dyDescent="0.3">
      <c r="N151">
        <v>11.95</v>
      </c>
      <c r="O151">
        <f t="shared" si="12"/>
        <v>471.1106493868333</v>
      </c>
      <c r="P151">
        <f t="shared" si="13"/>
        <v>472.7384985721954</v>
      </c>
      <c r="Q151">
        <f t="shared" si="14"/>
        <v>472.74</v>
      </c>
    </row>
    <row r="152" spans="14:17" x14ac:dyDescent="0.3">
      <c r="N152">
        <v>12</v>
      </c>
      <c r="O152">
        <f t="shared" si="12"/>
        <v>471.65404724999996</v>
      </c>
      <c r="P152">
        <f t="shared" si="13"/>
        <v>473.29237600667619</v>
      </c>
      <c r="Q152">
        <f t="shared" si="14"/>
        <v>473.29</v>
      </c>
    </row>
    <row r="153" spans="14:17" x14ac:dyDescent="0.3">
      <c r="N153">
        <v>12.05</v>
      </c>
      <c r="O153">
        <f t="shared" si="12"/>
        <v>472.20023081211582</v>
      </c>
      <c r="P153">
        <f t="shared" si="13"/>
        <v>473.84917288867831</v>
      </c>
      <c r="Q153">
        <f t="shared" si="14"/>
        <v>473.85</v>
      </c>
    </row>
    <row r="154" spans="14:17" x14ac:dyDescent="0.3">
      <c r="N154">
        <v>12.1</v>
      </c>
      <c r="O154">
        <f t="shared" si="12"/>
        <v>472.74922586172295</v>
      </c>
      <c r="P154">
        <f t="shared" si="13"/>
        <v>474.40891548233446</v>
      </c>
      <c r="Q154">
        <f t="shared" si="14"/>
        <v>474.41</v>
      </c>
    </row>
    <row r="155" spans="14:17" x14ac:dyDescent="0.3">
      <c r="N155">
        <v>12.15</v>
      </c>
      <c r="O155">
        <f t="shared" si="12"/>
        <v>473.30105847475329</v>
      </c>
      <c r="P155">
        <f t="shared" si="13"/>
        <v>474.97163033254611</v>
      </c>
      <c r="Q155">
        <f t="shared" si="14"/>
        <v>474.97</v>
      </c>
    </row>
    <row r="156" spans="14:17" x14ac:dyDescent="0.3">
      <c r="N156">
        <v>12.2</v>
      </c>
      <c r="O156">
        <f t="shared" si="12"/>
        <v>473.85575501452797</v>
      </c>
      <c r="P156">
        <f t="shared" si="13"/>
        <v>475.53734426454906</v>
      </c>
      <c r="Q156">
        <f t="shared" si="14"/>
        <v>475.54</v>
      </c>
    </row>
    <row r="157" spans="14:17" x14ac:dyDescent="0.3">
      <c r="N157">
        <v>12.25</v>
      </c>
      <c r="O157">
        <f t="shared" si="12"/>
        <v>474.41334213175776</v>
      </c>
      <c r="P157">
        <f t="shared" si="13"/>
        <v>476.1060843834664</v>
      </c>
      <c r="Q157">
        <f t="shared" si="14"/>
        <v>476.11</v>
      </c>
    </row>
    <row r="158" spans="14:17" x14ac:dyDescent="0.3">
      <c r="N158">
        <v>12.3</v>
      </c>
      <c r="O158">
        <f t="shared" si="12"/>
        <v>474.973846764543</v>
      </c>
      <c r="P158">
        <f t="shared" si="13"/>
        <v>476.67787807384587</v>
      </c>
      <c r="Q158">
        <f t="shared" si="14"/>
        <v>476.68</v>
      </c>
    </row>
    <row r="159" spans="14:17" x14ac:dyDescent="0.3">
      <c r="N159">
        <v>12.35</v>
      </c>
      <c r="O159">
        <f t="shared" si="12"/>
        <v>475.53729613837328</v>
      </c>
      <c r="P159">
        <f t="shared" si="13"/>
        <v>477.25275299917985</v>
      </c>
      <c r="Q159">
        <f t="shared" si="14"/>
        <v>477.25</v>
      </c>
    </row>
    <row r="160" spans="14:17" x14ac:dyDescent="0.3">
      <c r="N160">
        <v>12.4</v>
      </c>
      <c r="O160">
        <f t="shared" si="12"/>
        <v>476.103717766128</v>
      </c>
      <c r="P160">
        <f t="shared" si="13"/>
        <v>477.83073710141264</v>
      </c>
      <c r="Q160">
        <f t="shared" si="14"/>
        <v>477.83</v>
      </c>
    </row>
    <row r="161" spans="14:17" x14ac:dyDescent="0.3">
      <c r="N161">
        <v>12.45</v>
      </c>
      <c r="O161">
        <f t="shared" si="12"/>
        <v>476.6731394480758</v>
      </c>
      <c r="P161">
        <f t="shared" si="13"/>
        <v>478.41185860042867</v>
      </c>
      <c r="Q161">
        <f t="shared" si="14"/>
        <v>478.41</v>
      </c>
    </row>
    <row r="162" spans="14:17" x14ac:dyDescent="0.3">
      <c r="N162">
        <v>12.5</v>
      </c>
      <c r="O162">
        <f t="shared" si="12"/>
        <v>477.24558927187502</v>
      </c>
      <c r="P162">
        <f t="shared" si="13"/>
        <v>478.99614599352901</v>
      </c>
      <c r="Q162">
        <f t="shared" si="14"/>
        <v>479</v>
      </c>
    </row>
    <row r="163" spans="14:17" x14ac:dyDescent="0.3">
      <c r="N163">
        <v>12.55</v>
      </c>
      <c r="O163">
        <f t="shared" si="12"/>
        <v>477.82109561257334</v>
      </c>
      <c r="P163">
        <f t="shared" si="13"/>
        <v>479.58362805488611</v>
      </c>
      <c r="Q163">
        <f t="shared" si="14"/>
        <v>479.58</v>
      </c>
    </row>
    <row r="164" spans="14:17" x14ac:dyDescent="0.3">
      <c r="N164">
        <v>12.6</v>
      </c>
      <c r="O164">
        <f t="shared" si="12"/>
        <v>478.39968713260799</v>
      </c>
      <c r="P164">
        <f t="shared" si="13"/>
        <v>480.1743338349861</v>
      </c>
      <c r="Q164">
        <f t="shared" si="14"/>
        <v>480.17</v>
      </c>
    </row>
    <row r="165" spans="14:17" x14ac:dyDescent="0.3">
      <c r="N165">
        <v>12.65</v>
      </c>
      <c r="O165">
        <f t="shared" si="12"/>
        <v>478.98139278180577</v>
      </c>
      <c r="P165">
        <f t="shared" si="13"/>
        <v>480.76829266005353</v>
      </c>
      <c r="Q165">
        <f t="shared" si="14"/>
        <v>480.77</v>
      </c>
    </row>
    <row r="166" spans="14:17" x14ac:dyDescent="0.3">
      <c r="N166">
        <v>12.7</v>
      </c>
      <c r="O166">
        <f t="shared" si="12"/>
        <v>479.56624179738299</v>
      </c>
      <c r="P166">
        <f t="shared" si="13"/>
        <v>481.36553413145708</v>
      </c>
      <c r="Q166">
        <f t="shared" si="14"/>
        <v>481.37</v>
      </c>
    </row>
    <row r="167" spans="14:17" x14ac:dyDescent="0.3">
      <c r="N167">
        <v>12.75</v>
      </c>
      <c r="O167">
        <f t="shared" si="12"/>
        <v>480.15426370394528</v>
      </c>
      <c r="P167">
        <f t="shared" si="13"/>
        <v>481.96608812510192</v>
      </c>
      <c r="Q167">
        <f t="shared" si="14"/>
        <v>481.97</v>
      </c>
    </row>
    <row r="168" spans="14:17" x14ac:dyDescent="0.3">
      <c r="N168">
        <v>12.8</v>
      </c>
      <c r="O168">
        <f t="shared" si="12"/>
        <v>480.74548831348801</v>
      </c>
      <c r="P168">
        <f t="shared" si="13"/>
        <v>482.56998479080067</v>
      </c>
      <c r="Q168">
        <f t="shared" si="14"/>
        <v>482.57</v>
      </c>
    </row>
    <row r="169" spans="14:17" x14ac:dyDescent="0.3">
      <c r="N169">
        <v>12.85</v>
      </c>
      <c r="O169">
        <f t="shared" si="12"/>
        <v>481.33994572539581</v>
      </c>
      <c r="P169">
        <f t="shared" si="13"/>
        <v>483.17725455162895</v>
      </c>
      <c r="Q169">
        <f t="shared" si="14"/>
        <v>483.18</v>
      </c>
    </row>
    <row r="170" spans="14:17" x14ac:dyDescent="0.3">
      <c r="N170">
        <v>12.9</v>
      </c>
      <c r="O170">
        <f t="shared" si="12"/>
        <v>481.93766632644304</v>
      </c>
      <c r="P170">
        <f t="shared" si="13"/>
        <v>483.78792810326388</v>
      </c>
      <c r="Q170">
        <f t="shared" si="14"/>
        <v>483.79</v>
      </c>
    </row>
    <row r="171" spans="14:17" x14ac:dyDescent="0.3">
      <c r="N171">
        <v>12.95</v>
      </c>
      <c r="O171">
        <f t="shared" si="12"/>
        <v>482.53868079079331</v>
      </c>
      <c r="P171">
        <f t="shared" si="13"/>
        <v>484.4020364133014</v>
      </c>
      <c r="Q171">
        <f t="shared" si="14"/>
        <v>484.4</v>
      </c>
    </row>
    <row r="172" spans="14:17" x14ac:dyDescent="0.3">
      <c r="N172">
        <v>13</v>
      </c>
      <c r="O172">
        <f t="shared" si="12"/>
        <v>483.14302007999999</v>
      </c>
      <c r="P172">
        <f t="shared" si="13"/>
        <v>485.01961072055963</v>
      </c>
      <c r="Q172">
        <f t="shared" si="14"/>
        <v>485.02</v>
      </c>
    </row>
    <row r="173" spans="14:17" x14ac:dyDescent="0.3">
      <c r="N173">
        <v>13.05</v>
      </c>
      <c r="O173">
        <f t="shared" si="12"/>
        <v>483.75071544300579</v>
      </c>
      <c r="P173">
        <f t="shared" si="13"/>
        <v>485.64068253435892</v>
      </c>
      <c r="Q173">
        <f t="shared" si="14"/>
        <v>485.64</v>
      </c>
    </row>
    <row r="174" spans="14:17" x14ac:dyDescent="0.3">
      <c r="N174">
        <v>13.1</v>
      </c>
      <c r="O174">
        <f t="shared" si="12"/>
        <v>484.36179841614296</v>
      </c>
      <c r="P174">
        <f t="shared" si="13"/>
        <v>486.26528363378929</v>
      </c>
      <c r="Q174">
        <f t="shared" si="14"/>
        <v>486.27</v>
      </c>
    </row>
    <row r="175" spans="14:17" x14ac:dyDescent="0.3">
      <c r="N175">
        <v>13.15</v>
      </c>
      <c r="O175">
        <f t="shared" si="12"/>
        <v>484.97630082313333</v>
      </c>
      <c r="P175">
        <f t="shared" si="13"/>
        <v>486.89344606695198</v>
      </c>
      <c r="Q175">
        <f t="shared" si="14"/>
        <v>486.89</v>
      </c>
    </row>
    <row r="176" spans="14:17" x14ac:dyDescent="0.3">
      <c r="N176">
        <v>13.2</v>
      </c>
      <c r="O176">
        <f t="shared" si="12"/>
        <v>485.59425477508796</v>
      </c>
      <c r="P176">
        <f t="shared" si="13"/>
        <v>487.52520215018887</v>
      </c>
      <c r="Q176">
        <f t="shared" si="14"/>
        <v>487.53</v>
      </c>
    </row>
    <row r="177" spans="14:17" x14ac:dyDescent="0.3">
      <c r="N177">
        <v>13.25</v>
      </c>
      <c r="O177">
        <f t="shared" si="12"/>
        <v>486.21569267050779</v>
      </c>
      <c r="P177">
        <f t="shared" si="13"/>
        <v>488.16058446728715</v>
      </c>
      <c r="Q177">
        <f t="shared" si="14"/>
        <v>488.16</v>
      </c>
    </row>
    <row r="178" spans="14:17" x14ac:dyDescent="0.3">
      <c r="N178">
        <v>13.3</v>
      </c>
      <c r="O178">
        <f t="shared" si="12"/>
        <v>486.840647195283</v>
      </c>
      <c r="P178">
        <f t="shared" si="13"/>
        <v>488.79962586866844</v>
      </c>
      <c r="Q178">
        <f t="shared" si="14"/>
        <v>488.8</v>
      </c>
    </row>
    <row r="179" spans="14:17" x14ac:dyDescent="0.3">
      <c r="N179">
        <v>13.35</v>
      </c>
      <c r="O179">
        <f t="shared" si="12"/>
        <v>487.46915132269328</v>
      </c>
      <c r="P179">
        <f t="shared" si="13"/>
        <v>489.4423594705558</v>
      </c>
      <c r="Q179">
        <f t="shared" si="14"/>
        <v>489.44</v>
      </c>
    </row>
    <row r="180" spans="14:17" x14ac:dyDescent="0.3">
      <c r="N180">
        <v>13.4</v>
      </c>
      <c r="O180">
        <f t="shared" si="12"/>
        <v>488.10123831340798</v>
      </c>
      <c r="P180">
        <f t="shared" si="13"/>
        <v>490.08881865412286</v>
      </c>
      <c r="Q180">
        <f t="shared" si="14"/>
        <v>490.09</v>
      </c>
    </row>
    <row r="181" spans="14:17" x14ac:dyDescent="0.3">
      <c r="N181">
        <v>13.45</v>
      </c>
      <c r="O181">
        <f t="shared" si="12"/>
        <v>488.73694171548578</v>
      </c>
      <c r="P181">
        <f t="shared" si="13"/>
        <v>490.73903706462198</v>
      </c>
      <c r="Q181">
        <f t="shared" si="14"/>
        <v>490.74</v>
      </c>
    </row>
    <row r="182" spans="14:17" x14ac:dyDescent="0.3">
      <c r="N182">
        <v>13.5</v>
      </c>
      <c r="O182">
        <f t="shared" si="12"/>
        <v>489.37629536437498</v>
      </c>
      <c r="P182">
        <f t="shared" si="13"/>
        <v>491.39304861049249</v>
      </c>
      <c r="Q182">
        <f t="shared" si="14"/>
        <v>491.39</v>
      </c>
    </row>
    <row r="183" spans="14:17" x14ac:dyDescent="0.3">
      <c r="N183">
        <v>13.55</v>
      </c>
      <c r="O183">
        <f t="shared" si="12"/>
        <v>490.01933338291332</v>
      </c>
      <c r="P183">
        <f t="shared" si="13"/>
        <v>492.050887462449</v>
      </c>
      <c r="Q183">
        <f t="shared" si="14"/>
        <v>492.05</v>
      </c>
    </row>
    <row r="184" spans="14:17" x14ac:dyDescent="0.3">
      <c r="N184">
        <v>13.6</v>
      </c>
      <c r="O184">
        <f t="shared" si="12"/>
        <v>490.666090181328</v>
      </c>
      <c r="P184">
        <f t="shared" si="13"/>
        <v>492.71258805254814</v>
      </c>
      <c r="Q184">
        <f t="shared" si="14"/>
        <v>492.71</v>
      </c>
    </row>
    <row r="185" spans="14:17" x14ac:dyDescent="0.3">
      <c r="N185">
        <v>13.65</v>
      </c>
      <c r="O185">
        <f t="shared" si="12"/>
        <v>491.31660045723584</v>
      </c>
      <c r="P185">
        <f t="shared" si="13"/>
        <v>493.37818507323828</v>
      </c>
      <c r="Q185">
        <f t="shared" si="14"/>
        <v>493.38</v>
      </c>
    </row>
    <row r="186" spans="14:17" x14ac:dyDescent="0.3">
      <c r="N186">
        <v>13.7</v>
      </c>
      <c r="O186">
        <f t="shared" si="12"/>
        <v>491.97089919564291</v>
      </c>
      <c r="P186">
        <f t="shared" si="13"/>
        <v>494.04771347638342</v>
      </c>
      <c r="Q186">
        <f t="shared" si="14"/>
        <v>494.05</v>
      </c>
    </row>
    <row r="187" spans="14:17" x14ac:dyDescent="0.3">
      <c r="N187">
        <v>13.75</v>
      </c>
      <c r="O187">
        <f t="shared" si="12"/>
        <v>492.62902166894531</v>
      </c>
      <c r="P187">
        <f t="shared" si="13"/>
        <v>494.72120847227086</v>
      </c>
      <c r="Q187">
        <f t="shared" si="14"/>
        <v>494.72</v>
      </c>
    </row>
    <row r="188" spans="14:17" x14ac:dyDescent="0.3">
      <c r="N188">
        <v>13.8</v>
      </c>
      <c r="O188">
        <f t="shared" si="12"/>
        <v>493.29100343692801</v>
      </c>
      <c r="P188">
        <f t="shared" si="13"/>
        <v>495.39870552859514</v>
      </c>
      <c r="Q188">
        <f t="shared" si="14"/>
        <v>495.4</v>
      </c>
    </row>
    <row r="189" spans="14:17" x14ac:dyDescent="0.3">
      <c r="N189">
        <v>13.85</v>
      </c>
      <c r="O189">
        <f t="shared" si="12"/>
        <v>493.95688034676584</v>
      </c>
      <c r="P189">
        <f t="shared" si="13"/>
        <v>496.08024036942356</v>
      </c>
      <c r="Q189">
        <f t="shared" si="14"/>
        <v>496.08</v>
      </c>
    </row>
    <row r="190" spans="14:17" x14ac:dyDescent="0.3">
      <c r="N190">
        <v>13.9</v>
      </c>
      <c r="O190">
        <f t="shared" si="12"/>
        <v>494.62668853302301</v>
      </c>
      <c r="P190">
        <f t="shared" si="13"/>
        <v>496.76584897413744</v>
      </c>
      <c r="Q190">
        <f t="shared" si="14"/>
        <v>496.77</v>
      </c>
    </row>
    <row r="191" spans="14:17" x14ac:dyDescent="0.3">
      <c r="N191">
        <v>13.95</v>
      </c>
      <c r="O191">
        <f t="shared" si="12"/>
        <v>495.3004644176533</v>
      </c>
      <c r="P191">
        <f t="shared" si="13"/>
        <v>497.45556757635569</v>
      </c>
      <c r="Q191">
        <f t="shared" si="14"/>
        <v>497.46</v>
      </c>
    </row>
    <row r="192" spans="14:17" x14ac:dyDescent="0.3">
      <c r="N192">
        <v>14</v>
      </c>
      <c r="O192">
        <f t="shared" si="12"/>
        <v>495.97824471000001</v>
      </c>
      <c r="P192">
        <f t="shared" si="13"/>
        <v>498.14943266283404</v>
      </c>
      <c r="Q192">
        <f t="shared" si="14"/>
        <v>498.15</v>
      </c>
    </row>
    <row r="193" spans="14:17" x14ac:dyDescent="0.3">
      <c r="N193">
        <v>14.05</v>
      </c>
      <c r="O193">
        <f t="shared" si="12"/>
        <v>496.66006640679586</v>
      </c>
      <c r="P193">
        <f t="shared" si="13"/>
        <v>498.84748097234672</v>
      </c>
      <c r="Q193">
        <f t="shared" si="14"/>
        <v>498.85</v>
      </c>
    </row>
    <row r="194" spans="14:17" x14ac:dyDescent="0.3">
      <c r="N194">
        <v>14.1</v>
      </c>
      <c r="O194">
        <f t="shared" si="12"/>
        <v>497.34596679216298</v>
      </c>
      <c r="P194">
        <f t="shared" si="13"/>
        <v>499.54974949454225</v>
      </c>
      <c r="Q194">
        <f t="shared" si="14"/>
        <v>499.55</v>
      </c>
    </row>
    <row r="195" spans="14:17" x14ac:dyDescent="0.3">
      <c r="N195">
        <v>14.15</v>
      </c>
      <c r="O195">
        <f t="shared" ref="O195:O258" si="15">0.00191593*N195^4-0.05777151*N195^3+0.98154584*N195^2-0.94698723*N195+401.77573785</f>
        <v>498.03598343761325</v>
      </c>
      <c r="P195">
        <f t="shared" ref="P195:P258" si="16">3.7*(0.000000000646*O195^4-0.0000015648*O195^3+0.0013882318*O195^2-0.5311145615*O195+74.3371688691)+O195</f>
        <v>500.25627546878178</v>
      </c>
      <c r="Q195">
        <f t="shared" ref="Q195:Q258" si="17">ROUND(P195,2)</f>
        <v>500.26</v>
      </c>
    </row>
    <row r="196" spans="14:17" x14ac:dyDescent="0.3">
      <c r="N196">
        <v>14.2</v>
      </c>
      <c r="O196">
        <f t="shared" si="15"/>
        <v>498.73015420204797</v>
      </c>
      <c r="P196">
        <f t="shared" si="16"/>
        <v>500.96709638295567</v>
      </c>
      <c r="Q196">
        <f t="shared" si="17"/>
        <v>500.97</v>
      </c>
    </row>
    <row r="197" spans="14:17" x14ac:dyDescent="0.3">
      <c r="N197">
        <v>14.25</v>
      </c>
      <c r="O197">
        <f t="shared" si="15"/>
        <v>499.42851723175778</v>
      </c>
      <c r="P197">
        <f t="shared" si="16"/>
        <v>501.68224997227571</v>
      </c>
      <c r="Q197">
        <f t="shared" si="17"/>
        <v>501.68</v>
      </c>
    </row>
    <row r="198" spans="14:17" x14ac:dyDescent="0.3">
      <c r="N198">
        <v>14.3</v>
      </c>
      <c r="O198">
        <f t="shared" si="15"/>
        <v>500.13111096042297</v>
      </c>
      <c r="P198">
        <f t="shared" si="16"/>
        <v>502.40177421805072</v>
      </c>
      <c r="Q198">
        <f t="shared" si="17"/>
        <v>502.4</v>
      </c>
    </row>
    <row r="199" spans="14:17" x14ac:dyDescent="0.3">
      <c r="N199">
        <v>14.35</v>
      </c>
      <c r="O199">
        <f t="shared" si="15"/>
        <v>500.83797410911325</v>
      </c>
      <c r="P199">
        <f t="shared" si="16"/>
        <v>503.12570734643737</v>
      </c>
      <c r="Q199">
        <f t="shared" si="17"/>
        <v>503.13</v>
      </c>
    </row>
    <row r="200" spans="14:17" x14ac:dyDescent="0.3">
      <c r="N200">
        <v>14.4</v>
      </c>
      <c r="O200">
        <f t="shared" si="15"/>
        <v>501.54914568628794</v>
      </c>
      <c r="P200">
        <f t="shared" si="16"/>
        <v>503.85408782717121</v>
      </c>
      <c r="Q200">
        <f t="shared" si="17"/>
        <v>503.85</v>
      </c>
    </row>
    <row r="201" spans="14:17" x14ac:dyDescent="0.3">
      <c r="N201">
        <v>14.45</v>
      </c>
      <c r="O201">
        <f t="shared" si="15"/>
        <v>502.26466498779581</v>
      </c>
      <c r="P201">
        <f t="shared" si="16"/>
        <v>504.58695437227715</v>
      </c>
      <c r="Q201">
        <f t="shared" si="17"/>
        <v>504.59</v>
      </c>
    </row>
    <row r="202" spans="14:17" x14ac:dyDescent="0.3">
      <c r="N202">
        <v>14.5</v>
      </c>
      <c r="O202">
        <f t="shared" si="15"/>
        <v>502.98457159687496</v>
      </c>
      <c r="P202">
        <f t="shared" si="16"/>
        <v>505.32434593475779</v>
      </c>
      <c r="Q202">
        <f t="shared" si="17"/>
        <v>505.32</v>
      </c>
    </row>
    <row r="203" spans="14:17" x14ac:dyDescent="0.3">
      <c r="N203">
        <v>14.55</v>
      </c>
      <c r="O203">
        <f t="shared" si="15"/>
        <v>503.7089053841533</v>
      </c>
      <c r="P203">
        <f t="shared" si="16"/>
        <v>506.06630170726282</v>
      </c>
      <c r="Q203">
        <f t="shared" si="17"/>
        <v>506.07</v>
      </c>
    </row>
    <row r="204" spans="14:17" x14ac:dyDescent="0.3">
      <c r="N204">
        <v>14.6</v>
      </c>
      <c r="O204">
        <f t="shared" si="15"/>
        <v>504.43770650764799</v>
      </c>
      <c r="P204">
        <f t="shared" si="16"/>
        <v>506.81286112073587</v>
      </c>
      <c r="Q204">
        <f t="shared" si="17"/>
        <v>506.81</v>
      </c>
    </row>
    <row r="205" spans="14:17" x14ac:dyDescent="0.3">
      <c r="N205">
        <v>14.65</v>
      </c>
      <c r="O205">
        <f t="shared" si="15"/>
        <v>505.17101541276583</v>
      </c>
      <c r="P205">
        <f t="shared" si="16"/>
        <v>507.56406384304222</v>
      </c>
      <c r="Q205">
        <f t="shared" si="17"/>
        <v>507.56</v>
      </c>
    </row>
    <row r="206" spans="14:17" x14ac:dyDescent="0.3">
      <c r="N206">
        <v>14.7</v>
      </c>
      <c r="O206">
        <f t="shared" si="15"/>
        <v>505.90887283230296</v>
      </c>
      <c r="P206">
        <f t="shared" si="16"/>
        <v>508.31994977757614</v>
      </c>
      <c r="Q206">
        <f t="shared" si="17"/>
        <v>508.32</v>
      </c>
    </row>
    <row r="207" spans="14:17" x14ac:dyDescent="0.3">
      <c r="N207">
        <v>14.75</v>
      </c>
      <c r="O207">
        <f t="shared" si="15"/>
        <v>506.6513197864453</v>
      </c>
      <c r="P207">
        <f t="shared" si="16"/>
        <v>509.08055906184779</v>
      </c>
      <c r="Q207">
        <f t="shared" si="17"/>
        <v>509.08</v>
      </c>
    </row>
    <row r="208" spans="14:17" x14ac:dyDescent="0.3">
      <c r="N208">
        <v>14.8</v>
      </c>
      <c r="O208">
        <f t="shared" si="15"/>
        <v>507.39839758276798</v>
      </c>
      <c r="P208">
        <f t="shared" si="16"/>
        <v>509.84593206605052</v>
      </c>
      <c r="Q208">
        <f t="shared" si="17"/>
        <v>509.85</v>
      </c>
    </row>
    <row r="209" spans="14:17" x14ac:dyDescent="0.3">
      <c r="N209">
        <v>14.85</v>
      </c>
      <c r="O209">
        <f t="shared" si="15"/>
        <v>508.1501478162358</v>
      </c>
      <c r="P209">
        <f t="shared" si="16"/>
        <v>510.61610939160954</v>
      </c>
      <c r="Q209">
        <f t="shared" si="17"/>
        <v>510.62</v>
      </c>
    </row>
    <row r="210" spans="14:17" x14ac:dyDescent="0.3">
      <c r="N210">
        <v>14.9</v>
      </c>
      <c r="O210">
        <f t="shared" si="15"/>
        <v>508.906612369203</v>
      </c>
      <c r="P210">
        <f t="shared" si="16"/>
        <v>511.39113186971173</v>
      </c>
      <c r="Q210">
        <f t="shared" si="17"/>
        <v>511.39</v>
      </c>
    </row>
    <row r="211" spans="14:17" x14ac:dyDescent="0.3">
      <c r="N211">
        <v>14.95</v>
      </c>
      <c r="O211">
        <f t="shared" si="15"/>
        <v>509.66783341141326</v>
      </c>
      <c r="P211">
        <f t="shared" si="16"/>
        <v>512.17104055981406</v>
      </c>
      <c r="Q211">
        <f t="shared" si="17"/>
        <v>512.16999999999996</v>
      </c>
    </row>
    <row r="212" spans="14:17" x14ac:dyDescent="0.3">
      <c r="N212">
        <v>15</v>
      </c>
      <c r="O212">
        <f t="shared" si="15"/>
        <v>510.43385339999998</v>
      </c>
      <c r="P212">
        <f t="shared" si="16"/>
        <v>512.95587674813862</v>
      </c>
      <c r="Q212">
        <f t="shared" si="17"/>
        <v>512.96</v>
      </c>
    </row>
    <row r="213" spans="14:17" x14ac:dyDescent="0.3">
      <c r="N213">
        <v>15.05</v>
      </c>
      <c r="O213">
        <f t="shared" si="15"/>
        <v>511.20471507948582</v>
      </c>
      <c r="P213">
        <f t="shared" si="16"/>
        <v>513.74568194614392</v>
      </c>
      <c r="Q213">
        <f t="shared" si="17"/>
        <v>513.75</v>
      </c>
    </row>
    <row r="214" spans="14:17" x14ac:dyDescent="0.3">
      <c r="N214">
        <v>15.1</v>
      </c>
      <c r="O214">
        <f t="shared" si="15"/>
        <v>511.98046148178298</v>
      </c>
      <c r="P214">
        <f t="shared" si="16"/>
        <v>514.54049788898487</v>
      </c>
      <c r="Q214">
        <f t="shared" si="17"/>
        <v>514.54</v>
      </c>
    </row>
    <row r="215" spans="14:17" x14ac:dyDescent="0.3">
      <c r="N215">
        <v>15.15</v>
      </c>
      <c r="O215">
        <f t="shared" si="15"/>
        <v>512.76113592619333</v>
      </c>
      <c r="P215">
        <f t="shared" si="16"/>
        <v>515.34036653395151</v>
      </c>
      <c r="Q215">
        <f t="shared" si="17"/>
        <v>515.34</v>
      </c>
    </row>
    <row r="216" spans="14:17" x14ac:dyDescent="0.3">
      <c r="N216">
        <v>15.2</v>
      </c>
      <c r="O216">
        <f t="shared" si="15"/>
        <v>513.54678201940806</v>
      </c>
      <c r="P216">
        <f t="shared" si="16"/>
        <v>516.14533005889325</v>
      </c>
      <c r="Q216">
        <f t="shared" si="17"/>
        <v>516.15</v>
      </c>
    </row>
    <row r="217" spans="14:17" x14ac:dyDescent="0.3">
      <c r="N217">
        <v>15.25</v>
      </c>
      <c r="O217">
        <f t="shared" si="15"/>
        <v>514.33744365550785</v>
      </c>
      <c r="P217">
        <f t="shared" si="16"/>
        <v>516.9554308606273</v>
      </c>
      <c r="Q217">
        <f t="shared" si="17"/>
        <v>516.96</v>
      </c>
    </row>
    <row r="218" spans="14:17" x14ac:dyDescent="0.3">
      <c r="N218">
        <v>15.3</v>
      </c>
      <c r="O218">
        <f t="shared" si="15"/>
        <v>515.13316501596296</v>
      </c>
      <c r="P218">
        <f t="shared" si="16"/>
        <v>517.77071155333283</v>
      </c>
      <c r="Q218">
        <f t="shared" si="17"/>
        <v>517.77</v>
      </c>
    </row>
    <row r="219" spans="14:17" x14ac:dyDescent="0.3">
      <c r="N219">
        <v>15.35</v>
      </c>
      <c r="O219">
        <f t="shared" si="15"/>
        <v>515.93399056963335</v>
      </c>
      <c r="P219">
        <f t="shared" si="16"/>
        <v>518.59121496692887</v>
      </c>
      <c r="Q219">
        <f t="shared" si="17"/>
        <v>518.59</v>
      </c>
    </row>
    <row r="220" spans="14:17" x14ac:dyDescent="0.3">
      <c r="N220">
        <v>15.4</v>
      </c>
      <c r="O220">
        <f t="shared" si="15"/>
        <v>516.73996507276797</v>
      </c>
      <c r="P220">
        <f t="shared" si="16"/>
        <v>519.41698414544089</v>
      </c>
      <c r="Q220">
        <f t="shared" si="17"/>
        <v>519.41999999999996</v>
      </c>
    </row>
    <row r="221" spans="14:17" x14ac:dyDescent="0.3">
      <c r="N221">
        <v>15.45</v>
      </c>
      <c r="O221">
        <f t="shared" si="15"/>
        <v>517.55113356900574</v>
      </c>
      <c r="P221">
        <f t="shared" si="16"/>
        <v>520.24806234535356</v>
      </c>
      <c r="Q221">
        <f t="shared" si="17"/>
        <v>520.25</v>
      </c>
    </row>
    <row r="222" spans="14:17" x14ac:dyDescent="0.3">
      <c r="N222">
        <v>15.5</v>
      </c>
      <c r="O222">
        <f t="shared" si="15"/>
        <v>518.36754138937499</v>
      </c>
      <c r="P222">
        <f t="shared" si="16"/>
        <v>521.08449303395093</v>
      </c>
      <c r="Q222">
        <f t="shared" si="17"/>
        <v>521.08000000000004</v>
      </c>
    </row>
    <row r="223" spans="14:17" x14ac:dyDescent="0.3">
      <c r="N223">
        <v>15.55</v>
      </c>
      <c r="O223">
        <f t="shared" si="15"/>
        <v>519.18923415229324</v>
      </c>
      <c r="P223">
        <f t="shared" si="16"/>
        <v>521.92631988764742</v>
      </c>
      <c r="Q223">
        <f t="shared" si="17"/>
        <v>521.92999999999995</v>
      </c>
    </row>
    <row r="224" spans="14:17" x14ac:dyDescent="0.3">
      <c r="N224">
        <v>15.6</v>
      </c>
      <c r="O224">
        <f t="shared" si="15"/>
        <v>520.01625776356798</v>
      </c>
      <c r="P224">
        <f t="shared" si="16"/>
        <v>522.77358679030783</v>
      </c>
      <c r="Q224">
        <f t="shared" si="17"/>
        <v>522.77</v>
      </c>
    </row>
    <row r="225" spans="14:17" x14ac:dyDescent="0.3">
      <c r="N225">
        <v>15.65</v>
      </c>
      <c r="O225">
        <f t="shared" si="15"/>
        <v>520.84865841639578</v>
      </c>
      <c r="P225">
        <f t="shared" si="16"/>
        <v>523.62633783155741</v>
      </c>
      <c r="Q225">
        <f t="shared" si="17"/>
        <v>523.63</v>
      </c>
    </row>
    <row r="226" spans="14:17" x14ac:dyDescent="0.3">
      <c r="N226">
        <v>15.7</v>
      </c>
      <c r="O226">
        <f t="shared" si="15"/>
        <v>521.68648259136296</v>
      </c>
      <c r="P226">
        <f t="shared" si="16"/>
        <v>524.4846173050862</v>
      </c>
      <c r="Q226">
        <f t="shared" si="17"/>
        <v>524.48</v>
      </c>
    </row>
    <row r="227" spans="14:17" x14ac:dyDescent="0.3">
      <c r="N227">
        <v>15.75</v>
      </c>
      <c r="O227">
        <f t="shared" si="15"/>
        <v>522.52977705644525</v>
      </c>
      <c r="P227">
        <f t="shared" si="16"/>
        <v>525.34846970694502</v>
      </c>
      <c r="Q227">
        <f t="shared" si="17"/>
        <v>525.35</v>
      </c>
    </row>
    <row r="228" spans="14:17" x14ac:dyDescent="0.3">
      <c r="N228">
        <v>15.8</v>
      </c>
      <c r="O228">
        <f t="shared" si="15"/>
        <v>523.37858886700803</v>
      </c>
      <c r="P228">
        <f t="shared" si="16"/>
        <v>526.21793973383694</v>
      </c>
      <c r="Q228">
        <f t="shared" si="17"/>
        <v>526.22</v>
      </c>
    </row>
    <row r="229" spans="14:17" x14ac:dyDescent="0.3">
      <c r="N229">
        <v>15.85</v>
      </c>
      <c r="O229">
        <f t="shared" si="15"/>
        <v>524.23296536580574</v>
      </c>
      <c r="P229">
        <f t="shared" si="16"/>
        <v>527.09307228140301</v>
      </c>
      <c r="Q229">
        <f t="shared" si="17"/>
        <v>527.09</v>
      </c>
    </row>
    <row r="230" spans="14:17" x14ac:dyDescent="0.3">
      <c r="N230">
        <v>15.9</v>
      </c>
      <c r="O230">
        <f t="shared" si="15"/>
        <v>525.09295418298302</v>
      </c>
      <c r="P230">
        <f t="shared" si="16"/>
        <v>527.9739124425073</v>
      </c>
      <c r="Q230">
        <f t="shared" si="17"/>
        <v>527.97</v>
      </c>
    </row>
    <row r="231" spans="14:17" x14ac:dyDescent="0.3">
      <c r="N231">
        <v>15.95</v>
      </c>
      <c r="O231">
        <f t="shared" si="15"/>
        <v>525.95860323607326</v>
      </c>
      <c r="P231">
        <f t="shared" si="16"/>
        <v>528.86050550551931</v>
      </c>
      <c r="Q231">
        <f t="shared" si="17"/>
        <v>528.86</v>
      </c>
    </row>
    <row r="232" spans="14:17" x14ac:dyDescent="0.3">
      <c r="N232">
        <v>16</v>
      </c>
      <c r="O232">
        <f t="shared" si="15"/>
        <v>526.82996073000004</v>
      </c>
      <c r="P232">
        <f t="shared" si="16"/>
        <v>529.7528969525971</v>
      </c>
      <c r="Q232">
        <f t="shared" si="17"/>
        <v>529.75</v>
      </c>
    </row>
    <row r="233" spans="14:17" x14ac:dyDescent="0.3">
      <c r="N233">
        <v>16.05</v>
      </c>
      <c r="O233">
        <f t="shared" si="15"/>
        <v>527.70707515707579</v>
      </c>
      <c r="P233">
        <f t="shared" si="16"/>
        <v>530.6511324579709</v>
      </c>
      <c r="Q233">
        <f t="shared" si="17"/>
        <v>530.65</v>
      </c>
    </row>
    <row r="234" spans="14:17" x14ac:dyDescent="0.3">
      <c r="N234">
        <v>16.100000000000001</v>
      </c>
      <c r="O234">
        <f t="shared" si="15"/>
        <v>528.58999529700304</v>
      </c>
      <c r="P234">
        <f t="shared" si="16"/>
        <v>531.55525788623311</v>
      </c>
      <c r="Q234">
        <f t="shared" si="17"/>
        <v>531.55999999999995</v>
      </c>
    </row>
    <row r="235" spans="14:17" x14ac:dyDescent="0.3">
      <c r="N235">
        <v>16.149999999999999</v>
      </c>
      <c r="O235">
        <f t="shared" si="15"/>
        <v>529.47877021687327</v>
      </c>
      <c r="P235">
        <f t="shared" si="16"/>
        <v>532.46531929062894</v>
      </c>
      <c r="Q235">
        <f t="shared" si="17"/>
        <v>532.47</v>
      </c>
    </row>
    <row r="236" spans="14:17" x14ac:dyDescent="0.3">
      <c r="N236">
        <v>16.2</v>
      </c>
      <c r="O236">
        <f t="shared" si="15"/>
        <v>530.37344927116806</v>
      </c>
      <c r="P236">
        <f t="shared" si="16"/>
        <v>533.38136291135993</v>
      </c>
      <c r="Q236">
        <f t="shared" si="17"/>
        <v>533.38</v>
      </c>
    </row>
    <row r="237" spans="14:17" x14ac:dyDescent="0.3">
      <c r="N237">
        <v>16.25</v>
      </c>
      <c r="O237">
        <f t="shared" si="15"/>
        <v>531.27408210175781</v>
      </c>
      <c r="P237">
        <f t="shared" si="16"/>
        <v>534.30343517389065</v>
      </c>
      <c r="Q237">
        <f t="shared" si="17"/>
        <v>534.29999999999995</v>
      </c>
    </row>
    <row r="238" spans="14:17" x14ac:dyDescent="0.3">
      <c r="N238">
        <v>16.3</v>
      </c>
      <c r="O238">
        <f t="shared" si="15"/>
        <v>532.18071863790294</v>
      </c>
      <c r="P238">
        <f t="shared" si="16"/>
        <v>535.23158268727173</v>
      </c>
      <c r="Q238">
        <f t="shared" si="17"/>
        <v>535.23</v>
      </c>
    </row>
    <row r="239" spans="14:17" x14ac:dyDescent="0.3">
      <c r="N239">
        <v>16.350000000000001</v>
      </c>
      <c r="O239">
        <f t="shared" si="15"/>
        <v>533.09340909625325</v>
      </c>
      <c r="P239">
        <f t="shared" si="16"/>
        <v>536.16585224247399</v>
      </c>
      <c r="Q239">
        <f t="shared" si="17"/>
        <v>536.16999999999996</v>
      </c>
    </row>
    <row r="240" spans="14:17" x14ac:dyDescent="0.3">
      <c r="N240">
        <v>16.399999999999999</v>
      </c>
      <c r="O240">
        <f t="shared" si="15"/>
        <v>534.01220398084797</v>
      </c>
      <c r="P240">
        <f t="shared" si="16"/>
        <v>537.10629081073591</v>
      </c>
      <c r="Q240">
        <f t="shared" si="17"/>
        <v>537.11</v>
      </c>
    </row>
    <row r="241" spans="14:17" x14ac:dyDescent="0.3">
      <c r="N241">
        <v>16.45</v>
      </c>
      <c r="O241">
        <f t="shared" si="15"/>
        <v>534.93715408311573</v>
      </c>
      <c r="P241">
        <f t="shared" si="16"/>
        <v>538.05294554193483</v>
      </c>
      <c r="Q241">
        <f t="shared" si="17"/>
        <v>538.04999999999995</v>
      </c>
    </row>
    <row r="242" spans="14:17" x14ac:dyDescent="0.3">
      <c r="N242">
        <v>16.5</v>
      </c>
      <c r="O242">
        <f t="shared" si="15"/>
        <v>535.86831048187491</v>
      </c>
      <c r="P242">
        <f t="shared" si="16"/>
        <v>539.00586376297201</v>
      </c>
      <c r="Q242">
        <f t="shared" si="17"/>
        <v>539.01</v>
      </c>
    </row>
    <row r="243" spans="14:17" x14ac:dyDescent="0.3">
      <c r="N243">
        <v>16.55</v>
      </c>
      <c r="O243">
        <f t="shared" si="15"/>
        <v>536.80572454333333</v>
      </c>
      <c r="P243">
        <f t="shared" si="16"/>
        <v>539.96509297618729</v>
      </c>
      <c r="Q243">
        <f t="shared" si="17"/>
        <v>539.97</v>
      </c>
    </row>
    <row r="244" spans="14:17" x14ac:dyDescent="0.3">
      <c r="N244">
        <v>16.600000000000001</v>
      </c>
      <c r="O244">
        <f t="shared" si="15"/>
        <v>537.74944792108795</v>
      </c>
      <c r="P244">
        <f t="shared" si="16"/>
        <v>540.93068085779407</v>
      </c>
      <c r="Q244">
        <f t="shared" si="17"/>
        <v>540.92999999999995</v>
      </c>
    </row>
    <row r="245" spans="14:17" x14ac:dyDescent="0.3">
      <c r="N245">
        <v>16.649999999999999</v>
      </c>
      <c r="O245">
        <f t="shared" si="15"/>
        <v>538.69953255612586</v>
      </c>
      <c r="P245">
        <f t="shared" si="16"/>
        <v>541.90267525634783</v>
      </c>
      <c r="Q245">
        <f t="shared" si="17"/>
        <v>541.9</v>
      </c>
    </row>
    <row r="246" spans="14:17" x14ac:dyDescent="0.3">
      <c r="N246">
        <v>16.7</v>
      </c>
      <c r="O246">
        <f t="shared" si="15"/>
        <v>539.65603067682287</v>
      </c>
      <c r="P246">
        <f t="shared" si="16"/>
        <v>542.88112419124127</v>
      </c>
      <c r="Q246">
        <f t="shared" si="17"/>
        <v>542.88</v>
      </c>
    </row>
    <row r="247" spans="14:17" x14ac:dyDescent="0.3">
      <c r="N247">
        <v>16.75</v>
      </c>
      <c r="O247">
        <f t="shared" si="15"/>
        <v>540.61899479894532</v>
      </c>
      <c r="P247">
        <f t="shared" si="16"/>
        <v>543.86607585124079</v>
      </c>
      <c r="Q247">
        <f t="shared" si="17"/>
        <v>543.87</v>
      </c>
    </row>
    <row r="248" spans="14:17" x14ac:dyDescent="0.3">
      <c r="N248">
        <v>16.8</v>
      </c>
      <c r="O248">
        <f t="shared" si="15"/>
        <v>541.58847772564786</v>
      </c>
      <c r="P248">
        <f t="shared" si="16"/>
        <v>544.85757859305579</v>
      </c>
      <c r="Q248">
        <f t="shared" si="17"/>
        <v>544.86</v>
      </c>
    </row>
    <row r="249" spans="14:17" x14ac:dyDescent="0.3">
      <c r="N249">
        <v>16.850000000000001</v>
      </c>
      <c r="O249">
        <f t="shared" si="15"/>
        <v>542.56453254747589</v>
      </c>
      <c r="P249">
        <f t="shared" si="16"/>
        <v>545.85568093995096</v>
      </c>
      <c r="Q249">
        <f t="shared" si="17"/>
        <v>545.86</v>
      </c>
    </row>
    <row r="250" spans="14:17" x14ac:dyDescent="0.3">
      <c r="N250">
        <v>16.899999999999999</v>
      </c>
      <c r="O250">
        <f t="shared" si="15"/>
        <v>543.54721264236298</v>
      </c>
      <c r="P250">
        <f t="shared" si="16"/>
        <v>546.8604315804057</v>
      </c>
      <c r="Q250">
        <f t="shared" si="17"/>
        <v>546.86</v>
      </c>
    </row>
    <row r="251" spans="14:17" x14ac:dyDescent="0.3">
      <c r="N251">
        <v>16.95</v>
      </c>
      <c r="O251">
        <f t="shared" si="15"/>
        <v>544.53657167563324</v>
      </c>
      <c r="P251">
        <f t="shared" si="16"/>
        <v>547.87187936682153</v>
      </c>
      <c r="Q251">
        <f t="shared" si="17"/>
        <v>547.87</v>
      </c>
    </row>
    <row r="252" spans="14:17" x14ac:dyDescent="0.3">
      <c r="N252">
        <v>17</v>
      </c>
      <c r="O252">
        <f t="shared" si="15"/>
        <v>545.53266359999998</v>
      </c>
      <c r="P252">
        <f t="shared" si="16"/>
        <v>548.89007331427968</v>
      </c>
      <c r="Q252">
        <f t="shared" si="17"/>
        <v>548.89</v>
      </c>
    </row>
    <row r="253" spans="14:17" x14ac:dyDescent="0.3">
      <c r="N253">
        <v>17.05</v>
      </c>
      <c r="O253">
        <f t="shared" si="15"/>
        <v>546.53554265556579</v>
      </c>
      <c r="P253">
        <f t="shared" si="16"/>
        <v>549.91506259936045</v>
      </c>
      <c r="Q253">
        <f t="shared" si="17"/>
        <v>549.91999999999996</v>
      </c>
    </row>
    <row r="254" spans="14:17" x14ac:dyDescent="0.3">
      <c r="N254">
        <v>17.100000000000001</v>
      </c>
      <c r="O254">
        <f t="shared" si="15"/>
        <v>547.54526336982303</v>
      </c>
      <c r="P254">
        <f t="shared" si="16"/>
        <v>550.94689655902016</v>
      </c>
      <c r="Q254">
        <f t="shared" si="17"/>
        <v>550.95000000000005</v>
      </c>
    </row>
    <row r="255" spans="14:17" x14ac:dyDescent="0.3">
      <c r="N255">
        <v>17.149999999999999</v>
      </c>
      <c r="O255">
        <f t="shared" si="15"/>
        <v>548.56188055765324</v>
      </c>
      <c r="P255">
        <f t="shared" si="16"/>
        <v>551.98562468953378</v>
      </c>
      <c r="Q255">
        <f t="shared" si="17"/>
        <v>551.99</v>
      </c>
    </row>
    <row r="256" spans="14:17" x14ac:dyDescent="0.3">
      <c r="N256">
        <v>17.2</v>
      </c>
      <c r="O256">
        <f t="shared" si="15"/>
        <v>549.58544932132804</v>
      </c>
      <c r="P256">
        <f t="shared" si="16"/>
        <v>553.03129664551068</v>
      </c>
      <c r="Q256">
        <f t="shared" si="17"/>
        <v>553.03</v>
      </c>
    </row>
    <row r="257" spans="14:17" x14ac:dyDescent="0.3">
      <c r="N257">
        <v>17.25</v>
      </c>
      <c r="O257">
        <f t="shared" si="15"/>
        <v>550.6160250505078</v>
      </c>
      <c r="P257">
        <f t="shared" si="16"/>
        <v>554.08396223898126</v>
      </c>
      <c r="Q257">
        <f t="shared" si="17"/>
        <v>554.08000000000004</v>
      </c>
    </row>
    <row r="258" spans="14:17" x14ac:dyDescent="0.3">
      <c r="N258">
        <v>17.3</v>
      </c>
      <c r="O258">
        <f t="shared" si="15"/>
        <v>551.65366342224308</v>
      </c>
      <c r="P258">
        <f t="shared" si="16"/>
        <v>555.14367143856646</v>
      </c>
      <c r="Q258">
        <f t="shared" si="17"/>
        <v>555.14</v>
      </c>
    </row>
    <row r="259" spans="14:17" x14ac:dyDescent="0.3">
      <c r="N259">
        <v>17.350000000000001</v>
      </c>
      <c r="O259">
        <f t="shared" ref="O259:O282" si="18">0.00191593*N259^4-0.05777151*N259^3+0.98154584*N259^2-0.94698723*N259+401.77573785</f>
        <v>552.6984204009733</v>
      </c>
      <c r="P259">
        <f t="shared" ref="P259:P282" si="19">3.7*(0.000000000646*O259^4-0.0000015648*O259^3+0.0013882318*O259^2-0.5311145615*O259+74.3371688691)+O259</f>
        <v>556.2104743687305</v>
      </c>
      <c r="Q259">
        <f t="shared" ref="Q259:Q282" si="20">ROUND(P259,2)</f>
        <v>556.21</v>
      </c>
    </row>
    <row r="260" spans="14:17" x14ac:dyDescent="0.3">
      <c r="N260">
        <v>17.399999999999999</v>
      </c>
      <c r="O260">
        <f t="shared" si="18"/>
        <v>553.75035223852797</v>
      </c>
      <c r="P260">
        <f t="shared" si="19"/>
        <v>557.28442130912663</v>
      </c>
      <c r="Q260">
        <f t="shared" si="20"/>
        <v>557.28</v>
      </c>
    </row>
    <row r="261" spans="14:17" x14ac:dyDescent="0.3">
      <c r="N261">
        <v>17.45</v>
      </c>
      <c r="O261">
        <f t="shared" si="18"/>
        <v>554.80951547412587</v>
      </c>
      <c r="P261">
        <f t="shared" si="19"/>
        <v>558.36556269403582</v>
      </c>
      <c r="Q261">
        <f t="shared" si="20"/>
        <v>558.37</v>
      </c>
    </row>
    <row r="262" spans="14:17" x14ac:dyDescent="0.3">
      <c r="N262">
        <v>17.5</v>
      </c>
      <c r="O262">
        <f t="shared" si="18"/>
        <v>555.87596693437501</v>
      </c>
      <c r="P262">
        <f t="shared" si="19"/>
        <v>559.45394911190783</v>
      </c>
      <c r="Q262">
        <f t="shared" si="20"/>
        <v>559.45000000000005</v>
      </c>
    </row>
    <row r="263" spans="14:17" x14ac:dyDescent="0.3">
      <c r="N263">
        <v>17.55</v>
      </c>
      <c r="O263">
        <f t="shared" si="18"/>
        <v>556.94976373327336</v>
      </c>
      <c r="P263">
        <f t="shared" si="19"/>
        <v>560.54963130501415</v>
      </c>
      <c r="Q263">
        <f t="shared" si="20"/>
        <v>560.54999999999995</v>
      </c>
    </row>
    <row r="264" spans="14:17" x14ac:dyDescent="0.3">
      <c r="N264">
        <v>17.600000000000001</v>
      </c>
      <c r="O264">
        <f t="shared" si="18"/>
        <v>558.03096327220794</v>
      </c>
      <c r="P264">
        <f t="shared" si="19"/>
        <v>561.65266016921032</v>
      </c>
      <c r="Q264">
        <f t="shared" si="20"/>
        <v>561.65</v>
      </c>
    </row>
    <row r="265" spans="14:17" x14ac:dyDescent="0.3">
      <c r="N265">
        <v>17.649999999999999</v>
      </c>
      <c r="O265">
        <f t="shared" si="18"/>
        <v>559.11962323995567</v>
      </c>
      <c r="P265">
        <f t="shared" si="19"/>
        <v>562.7630867538204</v>
      </c>
      <c r="Q265">
        <f t="shared" si="20"/>
        <v>562.76</v>
      </c>
    </row>
    <row r="266" spans="14:17" x14ac:dyDescent="0.3">
      <c r="N266">
        <v>17.7</v>
      </c>
      <c r="O266">
        <f t="shared" si="18"/>
        <v>560.21580161268298</v>
      </c>
      <c r="P266">
        <f t="shared" si="19"/>
        <v>563.8809622616526</v>
      </c>
      <c r="Q266">
        <f t="shared" si="20"/>
        <v>563.88</v>
      </c>
    </row>
    <row r="267" spans="14:17" x14ac:dyDescent="0.3">
      <c r="N267">
        <v>17.75</v>
      </c>
      <c r="O267">
        <f t="shared" si="18"/>
        <v>561.31955665394526</v>
      </c>
      <c r="P267">
        <f t="shared" si="19"/>
        <v>565.00633804914173</v>
      </c>
      <c r="Q267">
        <f t="shared" si="20"/>
        <v>565.01</v>
      </c>
    </row>
    <row r="268" spans="14:17" x14ac:dyDescent="0.3">
      <c r="N268">
        <v>17.8</v>
      </c>
      <c r="O268">
        <f t="shared" si="18"/>
        <v>562.43094691468809</v>
      </c>
      <c r="P268">
        <f t="shared" si="19"/>
        <v>566.13926562664346</v>
      </c>
      <c r="Q268">
        <f t="shared" si="20"/>
        <v>566.14</v>
      </c>
    </row>
    <row r="269" spans="14:17" x14ac:dyDescent="0.3">
      <c r="N269">
        <v>17.850000000000001</v>
      </c>
      <c r="O269">
        <f t="shared" si="18"/>
        <v>563.55003123324582</v>
      </c>
      <c r="P269">
        <f t="shared" si="19"/>
        <v>567.27979665887017</v>
      </c>
      <c r="Q269">
        <f t="shared" si="20"/>
        <v>567.28</v>
      </c>
    </row>
    <row r="270" spans="14:17" x14ac:dyDescent="0.3">
      <c r="N270">
        <v>17.899999999999999</v>
      </c>
      <c r="O270">
        <f t="shared" si="18"/>
        <v>564.67686873534296</v>
      </c>
      <c r="P270">
        <f t="shared" si="19"/>
        <v>568.42798296548779</v>
      </c>
      <c r="Q270">
        <f t="shared" si="20"/>
        <v>568.42999999999995</v>
      </c>
    </row>
    <row r="271" spans="14:17" x14ac:dyDescent="0.3">
      <c r="N271">
        <v>17.95</v>
      </c>
      <c r="O271">
        <f t="shared" si="18"/>
        <v>565.81151883409336</v>
      </c>
      <c r="P271">
        <f t="shared" si="19"/>
        <v>569.58387652187855</v>
      </c>
      <c r="Q271">
        <f t="shared" si="20"/>
        <v>569.58000000000004</v>
      </c>
    </row>
    <row r="272" spans="14:17" x14ac:dyDescent="0.3">
      <c r="N272">
        <v>18</v>
      </c>
      <c r="O272">
        <f t="shared" si="18"/>
        <v>566.95404123000003</v>
      </c>
      <c r="P272">
        <f t="shared" si="19"/>
        <v>570.74752946007573</v>
      </c>
      <c r="Q272">
        <f t="shared" si="20"/>
        <v>570.75</v>
      </c>
    </row>
    <row r="273" spans="14:17" x14ac:dyDescent="0.3">
      <c r="N273">
        <v>18.05</v>
      </c>
      <c r="O273">
        <f t="shared" si="18"/>
        <v>568.10449591095585</v>
      </c>
      <c r="P273">
        <f t="shared" si="19"/>
        <v>571.9189940698833</v>
      </c>
      <c r="Q273">
        <f t="shared" si="20"/>
        <v>571.91999999999996</v>
      </c>
    </row>
    <row r="274" spans="14:17" x14ac:dyDescent="0.3">
      <c r="N274">
        <v>18.100000000000001</v>
      </c>
      <c r="O274">
        <f t="shared" si="18"/>
        <v>569.262943152243</v>
      </c>
      <c r="P274">
        <f t="shared" si="19"/>
        <v>573.098322800186</v>
      </c>
      <c r="Q274">
        <f t="shared" si="20"/>
        <v>573.1</v>
      </c>
    </row>
    <row r="275" spans="14:17" x14ac:dyDescent="0.3">
      <c r="N275">
        <v>18.149999999999999</v>
      </c>
      <c r="O275">
        <f t="shared" si="18"/>
        <v>570.4294435165333</v>
      </c>
      <c r="P275">
        <f t="shared" si="19"/>
        <v>574.28556826046383</v>
      </c>
      <c r="Q275">
        <f t="shared" si="20"/>
        <v>574.29</v>
      </c>
    </row>
    <row r="276" spans="14:17" x14ac:dyDescent="0.3">
      <c r="N276">
        <v>18.2</v>
      </c>
      <c r="O276">
        <f t="shared" si="18"/>
        <v>571.60405785388798</v>
      </c>
      <c r="P276">
        <f t="shared" si="19"/>
        <v>575.48078322251251</v>
      </c>
      <c r="Q276">
        <f t="shared" si="20"/>
        <v>575.48</v>
      </c>
    </row>
    <row r="277" spans="14:17" x14ac:dyDescent="0.3">
      <c r="N277">
        <v>18.25</v>
      </c>
      <c r="O277">
        <f t="shared" si="18"/>
        <v>572.7868473017578</v>
      </c>
      <c r="P277">
        <f t="shared" si="19"/>
        <v>576.68402062239079</v>
      </c>
      <c r="Q277">
        <f t="shared" si="20"/>
        <v>576.67999999999995</v>
      </c>
    </row>
    <row r="278" spans="14:17" x14ac:dyDescent="0.3">
      <c r="N278">
        <v>18.3</v>
      </c>
      <c r="O278">
        <f t="shared" si="18"/>
        <v>573.97787328498305</v>
      </c>
      <c r="P278">
        <f t="shared" si="19"/>
        <v>577.89533356259608</v>
      </c>
      <c r="Q278">
        <f t="shared" si="20"/>
        <v>577.9</v>
      </c>
    </row>
    <row r="279" spans="14:17" x14ac:dyDescent="0.3">
      <c r="N279">
        <v>18.350000000000001</v>
      </c>
      <c r="O279">
        <f t="shared" si="18"/>
        <v>575.1771975157933</v>
      </c>
      <c r="P279">
        <f t="shared" si="19"/>
        <v>579.1147753144852</v>
      </c>
      <c r="Q279">
        <f t="shared" si="20"/>
        <v>579.11</v>
      </c>
    </row>
    <row r="280" spans="14:17" x14ac:dyDescent="0.3">
      <c r="N280">
        <v>18.399999999999999</v>
      </c>
      <c r="O280">
        <f t="shared" si="18"/>
        <v>576.38488199380799</v>
      </c>
      <c r="P280">
        <f t="shared" si="19"/>
        <v>580.34239932094658</v>
      </c>
      <c r="Q280">
        <f t="shared" si="20"/>
        <v>580.34</v>
      </c>
    </row>
    <row r="281" spans="14:17" x14ac:dyDescent="0.3">
      <c r="N281">
        <v>18.4499999999999</v>
      </c>
      <c r="O281">
        <f t="shared" si="18"/>
        <v>577.60098900603339</v>
      </c>
      <c r="P281">
        <f t="shared" si="19"/>
        <v>581.57825919933941</v>
      </c>
      <c r="Q281">
        <f t="shared" si="20"/>
        <v>581.58000000000004</v>
      </c>
    </row>
    <row r="282" spans="14:17" x14ac:dyDescent="0.3">
      <c r="N282">
        <v>18.5</v>
      </c>
      <c r="O282">
        <f t="shared" si="18"/>
        <v>578.82558112687502</v>
      </c>
      <c r="P282">
        <f t="shared" si="19"/>
        <v>582.82240874472063</v>
      </c>
      <c r="Q282">
        <f t="shared" si="20"/>
        <v>582.82000000000005</v>
      </c>
    </row>
  </sheetData>
  <phoneticPr fontId="1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2"/>
  <sheetViews>
    <sheetView topLeftCell="H151" workbookViewId="0">
      <selection activeCell="M2" sqref="M2:M172"/>
    </sheetView>
  </sheetViews>
  <sheetFormatPr defaultRowHeight="14.4" x14ac:dyDescent="0.3"/>
  <sheetData>
    <row r="1" spans="1:16" x14ac:dyDescent="0.3">
      <c r="A1" t="s">
        <v>2</v>
      </c>
      <c r="B1" t="s">
        <v>3</v>
      </c>
      <c r="C1" t="s">
        <v>6</v>
      </c>
      <c r="I1" t="s">
        <v>25</v>
      </c>
      <c r="J1" t="s">
        <v>23</v>
      </c>
      <c r="K1" t="s">
        <v>26</v>
      </c>
    </row>
    <row r="2" spans="1:16" x14ac:dyDescent="0.3">
      <c r="A2">
        <v>11.2</v>
      </c>
      <c r="B2">
        <v>462.29</v>
      </c>
      <c r="C2">
        <v>16.27</v>
      </c>
      <c r="E2">
        <v>11.2</v>
      </c>
      <c r="F2">
        <v>459.34</v>
      </c>
      <c r="G2">
        <v>15.51</v>
      </c>
      <c r="I2">
        <v>4</v>
      </c>
      <c r="J2">
        <f>-0.0002049911*I2^4+0.0243120055*I2^3-0.2349808846*I2^2+5.9095166837*I2+391.4822436445</f>
        <v>412.86410685609997</v>
      </c>
      <c r="K2">
        <f>3.9*(0.000000000646*J2^4-0.0000015648*J2^3+0.0013882318*J2^2-0.5311145615*J2+74.3371688691)+J2</f>
        <v>414.18560035459961</v>
      </c>
      <c r="M2">
        <v>4</v>
      </c>
      <c r="N2">
        <f>-0.0002049911*M2^4+0.0243120055*M2^3-0.2349808846*M2^2+5.9095166837*M2+391.4822436445</f>
        <v>412.86410685609997</v>
      </c>
      <c r="O2">
        <f>3.9*(0.000000000646*N2^4-0.0000015648*N2^3+0.0013882318*N2^2-0.5311145615*N2+74.3371688691)+N2</f>
        <v>414.18560035459961</v>
      </c>
      <c r="P2">
        <f>ROUND(O2,2)</f>
        <v>414.19</v>
      </c>
    </row>
    <row r="3" spans="1:16" x14ac:dyDescent="0.3">
      <c r="I3">
        <v>4.0999999999999996</v>
      </c>
      <c r="J3">
        <f t="shared" ref="J3:J66" si="0">-0.0002049911*I3^4+0.0243120055*I3^3-0.2349808846*I3^2+5.9095166837*I3+391.4822436445</f>
        <v>413.37891552303677</v>
      </c>
      <c r="K3">
        <f t="shared" ref="K3:K66" si="1">3.9*(0.000000000646*J3^4-0.0000015648*J3^3+0.0013882318*J3^2-0.5311145615*J3+74.3371688691)+J3</f>
        <v>414.69418996389641</v>
      </c>
      <c r="M3">
        <v>4.05</v>
      </c>
      <c r="N3">
        <f t="shared" ref="N3:N66" si="2">-0.0002049911*M3^4+0.0243120055*M3^3-0.2349808846*M3^2+5.9095166837*M3+391.4822436445</f>
        <v>413.1214106013918</v>
      </c>
      <c r="O3">
        <f t="shared" ref="O3:O66" si="3">3.9*(0.000000000646*N3^4-0.0000015648*N3^3+0.0013882318*N3^2-0.5311145615*N3+74.3371688691)+N3</f>
        <v>414.43976726149833</v>
      </c>
      <c r="P3">
        <f t="shared" ref="P3:P66" si="4">ROUND(O3,2)</f>
        <v>414.44</v>
      </c>
    </row>
    <row r="4" spans="1:16" x14ac:dyDescent="0.3">
      <c r="A4">
        <v>4</v>
      </c>
      <c r="B4">
        <v>412.86</v>
      </c>
      <c r="C4">
        <v>14.12</v>
      </c>
      <c r="I4">
        <v>4.2</v>
      </c>
      <c r="J4">
        <f t="shared" si="0"/>
        <v>413.89459177658944</v>
      </c>
      <c r="K4">
        <f t="shared" si="1"/>
        <v>415.20386465793416</v>
      </c>
      <c r="M4">
        <v>4.0999999999999996</v>
      </c>
      <c r="N4">
        <f t="shared" si="2"/>
        <v>413.37891552303677</v>
      </c>
      <c r="O4">
        <f t="shared" si="3"/>
        <v>414.69418996389641</v>
      </c>
      <c r="P4">
        <f t="shared" si="4"/>
        <v>414.69</v>
      </c>
    </row>
    <row r="5" spans="1:16" x14ac:dyDescent="0.3">
      <c r="A5">
        <v>4.5</v>
      </c>
      <c r="B5">
        <v>415.47</v>
      </c>
      <c r="C5">
        <v>14.13</v>
      </c>
      <c r="E5" t="s">
        <v>13</v>
      </c>
      <c r="F5" t="s">
        <v>18</v>
      </c>
      <c r="G5" t="s">
        <v>20</v>
      </c>
      <c r="I5">
        <v>4.3</v>
      </c>
      <c r="J5">
        <f t="shared" si="0"/>
        <v>414.41126107167736</v>
      </c>
      <c r="K5">
        <f t="shared" si="1"/>
        <v>415.71474807037754</v>
      </c>
      <c r="M5">
        <v>4.1500000000000004</v>
      </c>
      <c r="N5">
        <f t="shared" si="2"/>
        <v>413.63663734902292</v>
      </c>
      <c r="O5">
        <f t="shared" si="3"/>
        <v>414.94888394175661</v>
      </c>
      <c r="P5">
        <f t="shared" si="4"/>
        <v>414.95</v>
      </c>
    </row>
    <row r="6" spans="1:16" x14ac:dyDescent="0.3">
      <c r="A6">
        <v>5</v>
      </c>
      <c r="B6">
        <v>418.09</v>
      </c>
      <c r="C6">
        <v>14.13</v>
      </c>
      <c r="E6">
        <v>460.82</v>
      </c>
      <c r="F6">
        <v>464.51</v>
      </c>
      <c r="G6">
        <v>457.49</v>
      </c>
      <c r="I6">
        <v>4.4000000000000004</v>
      </c>
      <c r="J6">
        <f t="shared" si="0"/>
        <v>414.92904837124144</v>
      </c>
      <c r="K6">
        <f t="shared" si="1"/>
        <v>416.22696355722746</v>
      </c>
      <c r="M6">
        <v>4.2</v>
      </c>
      <c r="N6">
        <f t="shared" si="2"/>
        <v>413.89459177658944</v>
      </c>
      <c r="O6">
        <f t="shared" si="3"/>
        <v>415.20386465793416</v>
      </c>
      <c r="P6">
        <f t="shared" si="4"/>
        <v>415.2</v>
      </c>
    </row>
    <row r="7" spans="1:16" x14ac:dyDescent="0.3">
      <c r="A7">
        <v>5.5</v>
      </c>
      <c r="B7">
        <v>420.7</v>
      </c>
      <c r="C7">
        <v>14.14</v>
      </c>
      <c r="I7">
        <v>4.5</v>
      </c>
      <c r="J7">
        <f t="shared" si="0"/>
        <v>415.44807814624374</v>
      </c>
      <c r="K7">
        <f t="shared" si="1"/>
        <v>416.74063419298801</v>
      </c>
      <c r="M7">
        <v>4.25</v>
      </c>
      <c r="N7">
        <f t="shared" si="2"/>
        <v>414.15279447222696</v>
      </c>
      <c r="O7">
        <f t="shared" si="3"/>
        <v>415.45914755805188</v>
      </c>
      <c r="P7">
        <f t="shared" si="4"/>
        <v>415.46</v>
      </c>
    </row>
    <row r="8" spans="1:16" x14ac:dyDescent="0.3">
      <c r="A8">
        <v>6</v>
      </c>
      <c r="B8">
        <v>423.32</v>
      </c>
      <c r="C8">
        <v>14.14</v>
      </c>
      <c r="I8">
        <v>4.5999999999999996</v>
      </c>
      <c r="J8">
        <f t="shared" si="0"/>
        <v>415.96847437566782</v>
      </c>
      <c r="K8">
        <f t="shared" si="1"/>
        <v>417.25588276695134</v>
      </c>
      <c r="M8">
        <v>4.3</v>
      </c>
      <c r="N8">
        <f t="shared" si="2"/>
        <v>414.41126107167736</v>
      </c>
      <c r="O8">
        <f t="shared" si="3"/>
        <v>415.71474807037754</v>
      </c>
      <c r="P8">
        <f t="shared" si="4"/>
        <v>415.71</v>
      </c>
    </row>
    <row r="9" spans="1:16" x14ac:dyDescent="0.3">
      <c r="A9">
        <v>6.5</v>
      </c>
      <c r="B9">
        <v>426.3</v>
      </c>
      <c r="C9">
        <v>14.15</v>
      </c>
      <c r="I9">
        <v>4.7</v>
      </c>
      <c r="J9">
        <f t="shared" si="0"/>
        <v>416.49036054651856</v>
      </c>
      <c r="K9">
        <f t="shared" si="1"/>
        <v>417.77283177959492</v>
      </c>
      <c r="M9">
        <v>4.3499999999999996</v>
      </c>
      <c r="N9">
        <f t="shared" si="2"/>
        <v>414.67000717993403</v>
      </c>
      <c r="O9">
        <f t="shared" si="3"/>
        <v>415.97068160570365</v>
      </c>
      <c r="P9">
        <f t="shared" si="4"/>
        <v>415.97</v>
      </c>
    </row>
    <row r="10" spans="1:16" x14ac:dyDescent="0.3">
      <c r="A10">
        <v>7</v>
      </c>
      <c r="B10">
        <v>429.28</v>
      </c>
      <c r="C10">
        <v>14.15</v>
      </c>
      <c r="I10">
        <v>4.8</v>
      </c>
      <c r="J10">
        <f t="shared" si="0"/>
        <v>417.01385965382224</v>
      </c>
      <c r="K10">
        <f t="shared" si="1"/>
        <v>418.29160343908103</v>
      </c>
      <c r="M10">
        <v>4.4000000000000004</v>
      </c>
      <c r="N10">
        <f t="shared" si="2"/>
        <v>414.92904837124144</v>
      </c>
      <c r="O10">
        <f t="shared" si="3"/>
        <v>416.22696355722746</v>
      </c>
      <c r="P10">
        <f t="shared" si="4"/>
        <v>416.23</v>
      </c>
    </row>
    <row r="11" spans="1:16" x14ac:dyDescent="0.3">
      <c r="A11">
        <v>7.5</v>
      </c>
      <c r="B11">
        <v>432.63</v>
      </c>
      <c r="C11">
        <v>14.15</v>
      </c>
      <c r="I11">
        <v>4.9000000000000004</v>
      </c>
      <c r="J11">
        <f t="shared" si="0"/>
        <v>417.53909420062638</v>
      </c>
      <c r="K11">
        <f t="shared" si="1"/>
        <v>418.8123196578531</v>
      </c>
      <c r="M11">
        <v>4.45</v>
      </c>
      <c r="N11">
        <f t="shared" si="2"/>
        <v>415.1884001890956</v>
      </c>
      <c r="O11">
        <f t="shared" si="3"/>
        <v>416.48360930043589</v>
      </c>
      <c r="P11">
        <f t="shared" si="4"/>
        <v>416.48</v>
      </c>
    </row>
    <row r="12" spans="1:16" x14ac:dyDescent="0.3">
      <c r="A12">
        <v>8</v>
      </c>
      <c r="B12">
        <v>434.87</v>
      </c>
      <c r="C12">
        <v>15.1</v>
      </c>
      <c r="I12">
        <v>5</v>
      </c>
      <c r="J12">
        <f t="shared" si="0"/>
        <v>418.06618619799997</v>
      </c>
      <c r="K12">
        <f t="shared" si="1"/>
        <v>419.33510204932105</v>
      </c>
      <c r="M12">
        <v>4.5</v>
      </c>
      <c r="N12">
        <f t="shared" si="2"/>
        <v>415.44807814624374</v>
      </c>
      <c r="O12">
        <f t="shared" si="3"/>
        <v>416.74063419298801</v>
      </c>
      <c r="P12">
        <f t="shared" si="4"/>
        <v>416.74</v>
      </c>
    </row>
    <row r="13" spans="1:16" x14ac:dyDescent="0.3">
      <c r="A13">
        <v>8.5</v>
      </c>
      <c r="B13">
        <v>438.59</v>
      </c>
      <c r="C13">
        <v>15.1</v>
      </c>
      <c r="I13">
        <v>5.0999999999999996</v>
      </c>
      <c r="J13">
        <f t="shared" si="0"/>
        <v>418.59525716503339</v>
      </c>
      <c r="K13">
        <f t="shared" si="1"/>
        <v>419.86007192462699</v>
      </c>
      <c r="M13">
        <v>4.55</v>
      </c>
      <c r="N13">
        <f t="shared" si="2"/>
        <v>415.70809772468448</v>
      </c>
      <c r="O13">
        <f t="shared" si="3"/>
        <v>416.99805357460389</v>
      </c>
      <c r="P13">
        <f t="shared" si="4"/>
        <v>417</v>
      </c>
    </row>
    <row r="14" spans="1:16" x14ac:dyDescent="0.3">
      <c r="A14">
        <v>9</v>
      </c>
      <c r="B14">
        <v>441.93</v>
      </c>
      <c r="C14">
        <v>15.22</v>
      </c>
      <c r="I14">
        <v>5.2</v>
      </c>
      <c r="J14">
        <f t="shared" si="0"/>
        <v>419.12642812883826</v>
      </c>
      <c r="K14">
        <f t="shared" si="1"/>
        <v>420.38735028948457</v>
      </c>
      <c r="M14">
        <v>4.5999999999999996</v>
      </c>
      <c r="N14">
        <f t="shared" si="2"/>
        <v>415.96847437566782</v>
      </c>
      <c r="O14">
        <f t="shared" si="3"/>
        <v>417.25588276695134</v>
      </c>
      <c r="P14">
        <f t="shared" si="4"/>
        <v>417.26</v>
      </c>
    </row>
    <row r="15" spans="1:16" x14ac:dyDescent="0.3">
      <c r="A15">
        <v>9.5</v>
      </c>
      <c r="B15">
        <v>445.64</v>
      </c>
      <c r="C15">
        <v>15.22</v>
      </c>
      <c r="I15">
        <v>5.3</v>
      </c>
      <c r="J15">
        <f t="shared" si="0"/>
        <v>419.65981962454759</v>
      </c>
      <c r="K15">
        <f t="shared" si="1"/>
        <v>420.91705784108746</v>
      </c>
      <c r="M15">
        <v>4.6500000000000004</v>
      </c>
      <c r="N15">
        <f t="shared" si="2"/>
        <v>416.22922351969498</v>
      </c>
      <c r="O15">
        <f t="shared" si="3"/>
        <v>417.51413707353657</v>
      </c>
      <c r="P15">
        <f t="shared" si="4"/>
        <v>417.51</v>
      </c>
    </row>
    <row r="16" spans="1:16" x14ac:dyDescent="0.3">
      <c r="A16">
        <v>10</v>
      </c>
      <c r="B16">
        <v>449.35</v>
      </c>
      <c r="C16">
        <v>15.22</v>
      </c>
      <c r="I16">
        <v>5.4</v>
      </c>
      <c r="J16">
        <f t="shared" si="0"/>
        <v>420.19555169531583</v>
      </c>
      <c r="K16">
        <f t="shared" si="1"/>
        <v>421.44931496507519</v>
      </c>
      <c r="M16">
        <v>4.7</v>
      </c>
      <c r="N16">
        <f t="shared" si="2"/>
        <v>416.49036054651856</v>
      </c>
      <c r="O16">
        <f t="shared" si="3"/>
        <v>417.77283177959492</v>
      </c>
      <c r="P16">
        <f t="shared" si="4"/>
        <v>417.77</v>
      </c>
    </row>
    <row r="17" spans="1:16" x14ac:dyDescent="0.3">
      <c r="A17">
        <v>10.5</v>
      </c>
      <c r="B17">
        <v>453.42</v>
      </c>
      <c r="C17">
        <v>15.23</v>
      </c>
      <c r="I17">
        <v>5.4999999999999902</v>
      </c>
      <c r="J17">
        <f t="shared" si="0"/>
        <v>420.73374389231867</v>
      </c>
      <c r="K17">
        <f t="shared" si="1"/>
        <v>421.98424173255319</v>
      </c>
      <c r="M17">
        <v>4.75</v>
      </c>
      <c r="N17">
        <f t="shared" si="2"/>
        <v>416.75190081514256</v>
      </c>
      <c r="O17">
        <f t="shared" si="3"/>
        <v>418.03198215198483</v>
      </c>
      <c r="P17">
        <f t="shared" si="4"/>
        <v>418.03</v>
      </c>
    </row>
    <row r="18" spans="1:16" x14ac:dyDescent="0.3">
      <c r="A18">
        <v>11</v>
      </c>
      <c r="B18">
        <v>457.49</v>
      </c>
      <c r="C18">
        <v>15.23</v>
      </c>
      <c r="I18">
        <v>5.5999999999999899</v>
      </c>
      <c r="J18">
        <f t="shared" si="0"/>
        <v>421.27451527475336</v>
      </c>
      <c r="K18">
        <f t="shared" si="1"/>
        <v>422.52195789715933</v>
      </c>
      <c r="M18">
        <v>4.8</v>
      </c>
      <c r="N18">
        <f t="shared" si="2"/>
        <v>417.01385965382224</v>
      </c>
      <c r="O18">
        <f t="shared" si="3"/>
        <v>418.29160343908103</v>
      </c>
      <c r="P18">
        <f t="shared" si="4"/>
        <v>418.29</v>
      </c>
    </row>
    <row r="19" spans="1:16" x14ac:dyDescent="0.3">
      <c r="A19">
        <v>11.5</v>
      </c>
      <c r="B19">
        <v>461.55</v>
      </c>
      <c r="C19">
        <v>15.24</v>
      </c>
      <c r="I19">
        <v>5.6999999999999904</v>
      </c>
      <c r="J19">
        <f t="shared" si="0"/>
        <v>421.81798440983835</v>
      </c>
      <c r="K19">
        <f t="shared" si="1"/>
        <v>423.06258289216817</v>
      </c>
      <c r="M19">
        <v>4.8499999999999996</v>
      </c>
      <c r="N19">
        <f t="shared" si="2"/>
        <v>417.27625236006418</v>
      </c>
      <c r="O19">
        <f t="shared" si="3"/>
        <v>418.55171087067112</v>
      </c>
      <c r="P19">
        <f t="shared" si="4"/>
        <v>418.55</v>
      </c>
    </row>
    <row r="20" spans="1:16" x14ac:dyDescent="0.3">
      <c r="A20">
        <v>12</v>
      </c>
      <c r="B20">
        <v>466.35</v>
      </c>
      <c r="C20">
        <v>15.24</v>
      </c>
      <c r="I20">
        <v>5.7999999999999901</v>
      </c>
      <c r="J20">
        <f t="shared" si="0"/>
        <v>422.3642693728134</v>
      </c>
      <c r="K20">
        <f t="shared" si="1"/>
        <v>423.60623582763003</v>
      </c>
      <c r="M20">
        <v>4.9000000000000004</v>
      </c>
      <c r="N20">
        <f t="shared" si="2"/>
        <v>417.53909420062638</v>
      </c>
      <c r="O20">
        <f t="shared" si="3"/>
        <v>418.8123196578531</v>
      </c>
      <c r="P20">
        <f t="shared" si="4"/>
        <v>418.81</v>
      </c>
    </row>
    <row r="21" spans="1:16" x14ac:dyDescent="0.3">
      <c r="A21">
        <v>12.5</v>
      </c>
      <c r="B21">
        <v>471.14</v>
      </c>
      <c r="C21">
        <v>15.24</v>
      </c>
      <c r="I21">
        <v>5.8999999999999897</v>
      </c>
      <c r="J21">
        <f t="shared" si="0"/>
        <v>422.91348774693972</v>
      </c>
      <c r="K21">
        <f t="shared" si="1"/>
        <v>424.15303548753502</v>
      </c>
      <c r="M21">
        <v>4.95</v>
      </c>
      <c r="N21">
        <f t="shared" si="2"/>
        <v>417.80240041151808</v>
      </c>
      <c r="O21">
        <f t="shared" si="3"/>
        <v>419.07344499293208</v>
      </c>
      <c r="P21">
        <f t="shared" si="4"/>
        <v>419.07</v>
      </c>
    </row>
    <row r="22" spans="1:16" x14ac:dyDescent="0.3">
      <c r="I22">
        <v>5.9999999999999902</v>
      </c>
      <c r="J22">
        <f t="shared" si="0"/>
        <v>423.46575662349994</v>
      </c>
      <c r="K22">
        <f t="shared" si="1"/>
        <v>424.7031003269957</v>
      </c>
      <c r="M22">
        <v>5</v>
      </c>
      <c r="N22">
        <f t="shared" si="2"/>
        <v>418.06618619799997</v>
      </c>
      <c r="O22">
        <f t="shared" si="3"/>
        <v>419.33510204932105</v>
      </c>
      <c r="P22">
        <f t="shared" si="4"/>
        <v>419.34</v>
      </c>
    </row>
    <row r="23" spans="1:16" x14ac:dyDescent="0.3">
      <c r="I23">
        <v>6.0999999999999899</v>
      </c>
      <c r="J23">
        <f t="shared" si="0"/>
        <v>424.02119260179791</v>
      </c>
      <c r="K23">
        <f t="shared" si="1"/>
        <v>425.25654846944468</v>
      </c>
      <c r="M23">
        <v>5.05</v>
      </c>
      <c r="N23">
        <f t="shared" si="2"/>
        <v>418.33046673458398</v>
      </c>
      <c r="O23">
        <f t="shared" si="3"/>
        <v>419.59730598144228</v>
      </c>
      <c r="P23">
        <f t="shared" si="4"/>
        <v>419.6</v>
      </c>
    </row>
    <row r="24" spans="1:16" x14ac:dyDescent="0.3">
      <c r="I24">
        <v>6.1999999999999904</v>
      </c>
      <c r="J24">
        <f t="shared" si="0"/>
        <v>424.57991178915898</v>
      </c>
      <c r="K24">
        <f t="shared" si="1"/>
        <v>425.81349770383781</v>
      </c>
      <c r="M24">
        <v>5.0999999999999996</v>
      </c>
      <c r="N24">
        <f t="shared" si="2"/>
        <v>418.59525716503339</v>
      </c>
      <c r="O24">
        <f t="shared" si="3"/>
        <v>419.86007192462699</v>
      </c>
      <c r="P24">
        <f t="shared" si="4"/>
        <v>419.86</v>
      </c>
    </row>
    <row r="25" spans="1:16" x14ac:dyDescent="0.3">
      <c r="I25">
        <v>6.2999999999999901</v>
      </c>
      <c r="J25">
        <f t="shared" si="0"/>
        <v>425.14202980092972</v>
      </c>
      <c r="K25">
        <f t="shared" si="1"/>
        <v>426.37406548185817</v>
      </c>
      <c r="M25">
        <v>5.15</v>
      </c>
      <c r="N25">
        <f t="shared" si="2"/>
        <v>418.86057260236282</v>
      </c>
      <c r="O25">
        <f t="shared" si="3"/>
        <v>420.12341499502054</v>
      </c>
      <c r="P25">
        <f t="shared" si="4"/>
        <v>420.12</v>
      </c>
    </row>
    <row r="26" spans="1:16" x14ac:dyDescent="0.3">
      <c r="I26">
        <v>6.3999999999999897</v>
      </c>
      <c r="J26">
        <f t="shared" si="0"/>
        <v>425.70766176047817</v>
      </c>
      <c r="K26">
        <f t="shared" si="1"/>
        <v>426.93836891511404</v>
      </c>
      <c r="M26">
        <v>5.2</v>
      </c>
      <c r="N26">
        <f t="shared" si="2"/>
        <v>419.12642812883826</v>
      </c>
      <c r="O26">
        <f t="shared" si="3"/>
        <v>420.38735028948457</v>
      </c>
      <c r="P26">
        <f t="shared" si="4"/>
        <v>420.39</v>
      </c>
    </row>
    <row r="27" spans="1:16" x14ac:dyDescent="0.3">
      <c r="I27">
        <v>6.4999999999999902</v>
      </c>
      <c r="J27">
        <f t="shared" si="0"/>
        <v>426.2769222991937</v>
      </c>
      <c r="K27">
        <f t="shared" si="1"/>
        <v>427.50652477232535</v>
      </c>
      <c r="M27">
        <v>5.25</v>
      </c>
      <c r="N27">
        <f t="shared" si="2"/>
        <v>419.39283879597696</v>
      </c>
      <c r="O27">
        <f t="shared" si="3"/>
        <v>420.6518928855034</v>
      </c>
      <c r="P27">
        <f t="shared" si="4"/>
        <v>420.65</v>
      </c>
    </row>
    <row r="28" spans="1:16" x14ac:dyDescent="0.3">
      <c r="I28">
        <v>6.5999999999999899</v>
      </c>
      <c r="J28">
        <f t="shared" si="0"/>
        <v>426.84992555648694</v>
      </c>
      <c r="K28">
        <f t="shared" si="1"/>
        <v>428.0786494764925</v>
      </c>
      <c r="M28">
        <v>5.3</v>
      </c>
      <c r="N28">
        <f t="shared" si="2"/>
        <v>419.65981962454759</v>
      </c>
      <c r="O28">
        <f t="shared" si="3"/>
        <v>420.91705784108746</v>
      </c>
      <c r="P28">
        <f t="shared" si="4"/>
        <v>420.92</v>
      </c>
    </row>
    <row r="29" spans="1:16" x14ac:dyDescent="0.3">
      <c r="I29">
        <v>6.6999999999999904</v>
      </c>
      <c r="J29">
        <f t="shared" si="0"/>
        <v>427.4267851797901</v>
      </c>
      <c r="K29">
        <f t="shared" si="1"/>
        <v>428.65485910203921</v>
      </c>
      <c r="M29">
        <v>5.35</v>
      </c>
      <c r="N29">
        <f t="shared" si="2"/>
        <v>419.92738560457008</v>
      </c>
      <c r="O29">
        <f t="shared" si="3"/>
        <v>421.18286019468263</v>
      </c>
      <c r="P29">
        <f t="shared" si="4"/>
        <v>421.18</v>
      </c>
    </row>
    <row r="30" spans="1:16" x14ac:dyDescent="0.3">
      <c r="I30">
        <v>6.7999999999999901</v>
      </c>
      <c r="J30">
        <f t="shared" si="0"/>
        <v>428.00761432455658</v>
      </c>
      <c r="K30">
        <f t="shared" si="1"/>
        <v>429.23526937192906</v>
      </c>
      <c r="M30">
        <v>5.4</v>
      </c>
      <c r="N30">
        <f t="shared" si="2"/>
        <v>420.19555169531583</v>
      </c>
      <c r="O30">
        <f t="shared" si="3"/>
        <v>421.44931496507519</v>
      </c>
      <c r="P30">
        <f t="shared" si="4"/>
        <v>421.45</v>
      </c>
    </row>
    <row r="31" spans="1:16" x14ac:dyDescent="0.3">
      <c r="I31">
        <v>6.8999999999999897</v>
      </c>
      <c r="J31">
        <f t="shared" si="0"/>
        <v>428.59252565426112</v>
      </c>
      <c r="K31">
        <f t="shared" si="1"/>
        <v>429.81999565474217</v>
      </c>
      <c r="M31">
        <v>5.4499999999999904</v>
      </c>
      <c r="N31">
        <f t="shared" si="2"/>
        <v>420.46433282530734</v>
      </c>
      <c r="O31">
        <f t="shared" si="3"/>
        <v>421.71643715130091</v>
      </c>
      <c r="P31">
        <f t="shared" si="4"/>
        <v>421.72</v>
      </c>
    </row>
    <row r="32" spans="1:16" x14ac:dyDescent="0.3">
      <c r="I32">
        <v>6.9999999999999902</v>
      </c>
      <c r="J32">
        <f t="shared" si="0"/>
        <v>429.18163134039992</v>
      </c>
      <c r="K32">
        <f t="shared" si="1"/>
        <v>430.40915296171482</v>
      </c>
      <c r="M32">
        <v>5.4999999999999902</v>
      </c>
      <c r="N32">
        <f t="shared" si="2"/>
        <v>420.73374389231867</v>
      </c>
      <c r="O32">
        <f t="shared" si="3"/>
        <v>421.98424173255319</v>
      </c>
      <c r="P32">
        <f t="shared" si="4"/>
        <v>421.98</v>
      </c>
    </row>
    <row r="33" spans="9:16" x14ac:dyDescent="0.3">
      <c r="I33">
        <v>7.0999999999999899</v>
      </c>
      <c r="J33">
        <f t="shared" si="0"/>
        <v>429.77504306249051</v>
      </c>
      <c r="K33">
        <f t="shared" si="1"/>
        <v>431.00285594372696</v>
      </c>
      <c r="M33">
        <v>5.5499999999999901</v>
      </c>
      <c r="N33">
        <f t="shared" si="2"/>
        <v>421.00379976337513</v>
      </c>
      <c r="O33">
        <f t="shared" si="3"/>
        <v>422.25274366809333</v>
      </c>
      <c r="P33">
        <f t="shared" si="4"/>
        <v>422.25</v>
      </c>
    </row>
    <row r="34" spans="9:16" x14ac:dyDescent="0.3">
      <c r="I34">
        <v>7.1999999999999904</v>
      </c>
      <c r="J34">
        <f t="shared" si="0"/>
        <v>430.37287200807179</v>
      </c>
      <c r="K34">
        <f t="shared" si="1"/>
        <v>431.6012188882417</v>
      </c>
      <c r="M34">
        <v>5.5999999999999899</v>
      </c>
      <c r="N34">
        <f t="shared" si="2"/>
        <v>421.27451527475336</v>
      </c>
      <c r="O34">
        <f t="shared" si="3"/>
        <v>422.52195789715933</v>
      </c>
      <c r="P34">
        <f t="shared" si="4"/>
        <v>422.52</v>
      </c>
    </row>
    <row r="35" spans="9:16" x14ac:dyDescent="0.3">
      <c r="I35">
        <v>7.2999999999999901</v>
      </c>
      <c r="J35">
        <f t="shared" si="0"/>
        <v>430.97522887270389</v>
      </c>
      <c r="K35">
        <f t="shared" si="1"/>
        <v>432.20435571618412</v>
      </c>
      <c r="M35">
        <v>5.6499999999999897</v>
      </c>
      <c r="N35">
        <f t="shared" si="2"/>
        <v>421.54590523198135</v>
      </c>
      <c r="O35">
        <f t="shared" si="3"/>
        <v>422.79189933887614</v>
      </c>
      <c r="P35">
        <f t="shared" si="4"/>
        <v>422.79</v>
      </c>
    </row>
    <row r="36" spans="9:16" x14ac:dyDescent="0.3">
      <c r="I36">
        <v>7.3999999999999897</v>
      </c>
      <c r="J36">
        <f t="shared" si="0"/>
        <v>431.58222385996856</v>
      </c>
      <c r="K36">
        <f t="shared" si="1"/>
        <v>432.81237997875513</v>
      </c>
      <c r="M36">
        <v>5.6999999999999904</v>
      </c>
      <c r="N36">
        <f t="shared" si="2"/>
        <v>421.81798440983835</v>
      </c>
      <c r="O36">
        <f t="shared" si="3"/>
        <v>423.06258289216817</v>
      </c>
      <c r="P36">
        <f t="shared" si="4"/>
        <v>423.06</v>
      </c>
    </row>
    <row r="37" spans="9:16" x14ac:dyDescent="0.3">
      <c r="I37">
        <v>7.4999999999999902</v>
      </c>
      <c r="J37">
        <f t="shared" si="0"/>
        <v>432.19396668146868</v>
      </c>
      <c r="K37">
        <f t="shared" si="1"/>
        <v>433.42540485417942</v>
      </c>
      <c r="M37">
        <v>5.7499999999999902</v>
      </c>
      <c r="N37">
        <f t="shared" si="2"/>
        <v>422.09076755235503</v>
      </c>
      <c r="O37">
        <f t="shared" si="3"/>
        <v>423.33402343566797</v>
      </c>
      <c r="P37">
        <f t="shared" si="4"/>
        <v>423.33</v>
      </c>
    </row>
    <row r="38" spans="9:16" x14ac:dyDescent="0.3">
      <c r="I38">
        <v>7.5999999999999899</v>
      </c>
      <c r="J38">
        <f t="shared" si="0"/>
        <v>432.81056655682858</v>
      </c>
      <c r="K38">
        <f t="shared" si="1"/>
        <v>434.04354314437654</v>
      </c>
      <c r="M38">
        <v>5.7999999999999901</v>
      </c>
      <c r="N38">
        <f t="shared" si="2"/>
        <v>422.3642693728134</v>
      </c>
      <c r="O38">
        <f t="shared" si="3"/>
        <v>423.60623582763003</v>
      </c>
      <c r="P38">
        <f t="shared" si="4"/>
        <v>423.61</v>
      </c>
    </row>
    <row r="39" spans="9:16" x14ac:dyDescent="0.3">
      <c r="I39">
        <v>7.6999999999999904</v>
      </c>
      <c r="J39">
        <f t="shared" si="0"/>
        <v>433.43213221369393</v>
      </c>
      <c r="K39">
        <f t="shared" si="1"/>
        <v>434.66690727155355</v>
      </c>
      <c r="M39">
        <v>5.8499999999999899</v>
      </c>
      <c r="N39">
        <f t="shared" si="2"/>
        <v>422.63850455374671</v>
      </c>
      <c r="O39">
        <f t="shared" si="3"/>
        <v>423.87923490584166</v>
      </c>
      <c r="P39">
        <f t="shared" si="4"/>
        <v>423.88</v>
      </c>
    </row>
    <row r="40" spans="9:16" x14ac:dyDescent="0.3">
      <c r="I40">
        <v>7.7999999999999901</v>
      </c>
      <c r="J40">
        <f t="shared" si="0"/>
        <v>434.05877188773178</v>
      </c>
      <c r="K40">
        <f t="shared" si="1"/>
        <v>435.29560927471221</v>
      </c>
      <c r="M40">
        <v>5.8999999999999897</v>
      </c>
      <c r="N40">
        <f t="shared" si="2"/>
        <v>422.91348774693972</v>
      </c>
      <c r="O40">
        <f t="shared" si="3"/>
        <v>424.15303548753502</v>
      </c>
      <c r="P40">
        <f t="shared" si="4"/>
        <v>424.15</v>
      </c>
    </row>
    <row r="41" spans="9:16" x14ac:dyDescent="0.3">
      <c r="I41">
        <v>7.8999999999999897</v>
      </c>
      <c r="J41">
        <f t="shared" si="0"/>
        <v>434.69059332263049</v>
      </c>
      <c r="K41">
        <f t="shared" si="1"/>
        <v>435.92976080606786</v>
      </c>
      <c r="M41">
        <v>5.9499999999999904</v>
      </c>
      <c r="N41">
        <f t="shared" si="2"/>
        <v>423.18923357342834</v>
      </c>
      <c r="O41">
        <f t="shared" si="3"/>
        <v>424.42765236929989</v>
      </c>
      <c r="P41">
        <f t="shared" si="4"/>
        <v>424.43</v>
      </c>
    </row>
    <row r="42" spans="9:16" x14ac:dyDescent="0.3">
      <c r="I42">
        <v>7.9999999999999902</v>
      </c>
      <c r="J42">
        <f t="shared" si="0"/>
        <v>435.3277037700999</v>
      </c>
      <c r="K42">
        <f t="shared" si="1"/>
        <v>436.56947312737168</v>
      </c>
      <c r="M42">
        <v>5.9999999999999902</v>
      </c>
      <c r="N42">
        <f t="shared" si="2"/>
        <v>423.46575662349994</v>
      </c>
      <c r="O42">
        <f t="shared" si="3"/>
        <v>424.7031003269957</v>
      </c>
      <c r="P42">
        <f t="shared" si="4"/>
        <v>424.7</v>
      </c>
    </row>
    <row r="43" spans="9:16" x14ac:dyDescent="0.3">
      <c r="I43">
        <v>8.0999999999999908</v>
      </c>
      <c r="J43">
        <f t="shared" si="0"/>
        <v>435.97020998987114</v>
      </c>
      <c r="K43">
        <f t="shared" si="1"/>
        <v>437.21485710613649</v>
      </c>
      <c r="M43">
        <v>6.0499999999999901</v>
      </c>
      <c r="N43">
        <f t="shared" si="2"/>
        <v>423.74307145669314</v>
      </c>
      <c r="O43">
        <f t="shared" si="3"/>
        <v>424.97939411566495</v>
      </c>
      <c r="P43">
        <f t="shared" si="4"/>
        <v>424.98</v>
      </c>
    </row>
    <row r="44" spans="9:16" x14ac:dyDescent="0.3">
      <c r="I44">
        <v>8.1999999999999904</v>
      </c>
      <c r="J44">
        <f t="shared" si="0"/>
        <v>436.61821824969655</v>
      </c>
      <c r="K44">
        <f t="shared" si="1"/>
        <v>437.86602321175479</v>
      </c>
      <c r="M44">
        <v>6.0999999999999899</v>
      </c>
      <c r="N44">
        <f t="shared" si="2"/>
        <v>424.02119260179791</v>
      </c>
      <c r="O44">
        <f t="shared" si="3"/>
        <v>425.25654846944468</v>
      </c>
      <c r="P44">
        <f t="shared" si="4"/>
        <v>425.26</v>
      </c>
    </row>
    <row r="45" spans="9:16" x14ac:dyDescent="0.3">
      <c r="I45">
        <v>8.2999999999999794</v>
      </c>
      <c r="J45">
        <f t="shared" si="0"/>
        <v>437.27183432535003</v>
      </c>
      <c r="K45">
        <f t="shared" si="1"/>
        <v>438.5230815115126</v>
      </c>
      <c r="M45">
        <v>6.1499999999999897</v>
      </c>
      <c r="N45">
        <f t="shared" si="2"/>
        <v>424.30013455685565</v>
      </c>
      <c r="O45">
        <f t="shared" si="3"/>
        <v>425.53457810148041</v>
      </c>
      <c r="P45">
        <f t="shared" si="4"/>
        <v>425.53</v>
      </c>
    </row>
    <row r="46" spans="9:16" x14ac:dyDescent="0.3">
      <c r="I46">
        <v>8.3999999999999808</v>
      </c>
      <c r="J46">
        <f t="shared" si="0"/>
        <v>437.93116350062689</v>
      </c>
      <c r="K46">
        <f t="shared" si="1"/>
        <v>439.18614166648604</v>
      </c>
      <c r="M46">
        <v>6.1999999999999904</v>
      </c>
      <c r="N46">
        <f t="shared" si="2"/>
        <v>424.57991178915898</v>
      </c>
      <c r="O46">
        <f t="shared" si="3"/>
        <v>425.81349770383781</v>
      </c>
      <c r="P46">
        <f t="shared" si="4"/>
        <v>425.81</v>
      </c>
    </row>
    <row r="47" spans="9:16" x14ac:dyDescent="0.3">
      <c r="I47">
        <v>8.4999999999999805</v>
      </c>
      <c r="J47">
        <f t="shared" si="0"/>
        <v>438.59631056734361</v>
      </c>
      <c r="K47">
        <f t="shared" si="1"/>
        <v>439.85531292732361</v>
      </c>
      <c r="M47">
        <v>6.2499999999999902</v>
      </c>
      <c r="N47">
        <f t="shared" si="2"/>
        <v>424.86053873525191</v>
      </c>
      <c r="O47">
        <f t="shared" si="3"/>
        <v>426.09332194741563</v>
      </c>
      <c r="P47">
        <f t="shared" si="4"/>
        <v>426.09</v>
      </c>
    </row>
    <row r="48" spans="9:16" x14ac:dyDescent="0.3">
      <c r="I48">
        <v>8.5999999999999801</v>
      </c>
      <c r="J48">
        <f t="shared" si="0"/>
        <v>439.26737982533808</v>
      </c>
      <c r="K48">
        <f t="shared" si="1"/>
        <v>440.53070412990422</v>
      </c>
      <c r="M48">
        <v>6.2999999999999901</v>
      </c>
      <c r="N48">
        <f t="shared" si="2"/>
        <v>425.14202980092972</v>
      </c>
      <c r="O48">
        <f t="shared" si="3"/>
        <v>426.37406548185817</v>
      </c>
      <c r="P48">
        <f t="shared" si="4"/>
        <v>426.37</v>
      </c>
    </row>
    <row r="49" spans="9:16" x14ac:dyDescent="0.3">
      <c r="I49">
        <v>8.6999999999999797</v>
      </c>
      <c r="J49">
        <f t="shared" si="0"/>
        <v>439.94447508246964</v>
      </c>
      <c r="K49">
        <f t="shared" si="1"/>
        <v>441.21242369087224</v>
      </c>
      <c r="M49">
        <v>6.3499999999999899</v>
      </c>
      <c r="N49">
        <f t="shared" si="2"/>
        <v>425.42439936123913</v>
      </c>
      <c r="O49">
        <f t="shared" si="3"/>
        <v>426.65574293546723</v>
      </c>
      <c r="P49">
        <f t="shared" si="4"/>
        <v>426.66</v>
      </c>
    </row>
    <row r="50" spans="9:16" x14ac:dyDescent="0.3">
      <c r="I50">
        <v>8.7999999999999794</v>
      </c>
      <c r="J50">
        <f t="shared" si="0"/>
        <v>440.62769965461888</v>
      </c>
      <c r="K50">
        <f t="shared" si="1"/>
        <v>441.90057960303994</v>
      </c>
      <c r="M50">
        <v>6.3999999999999897</v>
      </c>
      <c r="N50">
        <f t="shared" si="2"/>
        <v>425.70766176047817</v>
      </c>
      <c r="O50">
        <f t="shared" si="3"/>
        <v>426.93836891511404</v>
      </c>
      <c r="P50">
        <f t="shared" si="4"/>
        <v>426.94</v>
      </c>
    </row>
    <row r="51" spans="9:16" x14ac:dyDescent="0.3">
      <c r="I51">
        <v>8.8999999999999808</v>
      </c>
      <c r="J51">
        <f t="shared" si="0"/>
        <v>441.31715636568788</v>
      </c>
      <c r="K51">
        <f t="shared" si="1"/>
        <v>442.59527943065928</v>
      </c>
      <c r="M51">
        <v>6.4499999999999904</v>
      </c>
      <c r="N51">
        <f t="shared" si="2"/>
        <v>425.99183131219615</v>
      </c>
      <c r="O51">
        <f t="shared" si="3"/>
        <v>427.22195800615151</v>
      </c>
      <c r="P51">
        <f t="shared" si="4"/>
        <v>427.22</v>
      </c>
    </row>
    <row r="52" spans="9:16" x14ac:dyDescent="0.3">
      <c r="I52">
        <v>8.9999999999999805</v>
      </c>
      <c r="J52">
        <f t="shared" si="0"/>
        <v>442.01294754759988</v>
      </c>
      <c r="K52">
        <f t="shared" si="1"/>
        <v>443.29663030455339</v>
      </c>
      <c r="M52">
        <v>6.4999999999999902</v>
      </c>
      <c r="N52">
        <f t="shared" si="2"/>
        <v>426.2769222991937</v>
      </c>
      <c r="O52">
        <f t="shared" si="3"/>
        <v>427.50652477232535</v>
      </c>
      <c r="P52">
        <f t="shared" si="4"/>
        <v>427.51</v>
      </c>
    </row>
    <row r="53" spans="9:16" x14ac:dyDescent="0.3">
      <c r="I53">
        <v>9.0999999999999801</v>
      </c>
      <c r="J53">
        <f t="shared" si="0"/>
        <v>442.71517504029964</v>
      </c>
      <c r="K53">
        <f t="shared" si="1"/>
        <v>444.00473891711079</v>
      </c>
      <c r="M53">
        <v>6.5499999999999901</v>
      </c>
      <c r="N53">
        <f t="shared" si="2"/>
        <v>426.56294897352285</v>
      </c>
      <c r="O53">
        <f t="shared" si="3"/>
        <v>427.79208375568447</v>
      </c>
      <c r="P53">
        <f t="shared" si="4"/>
        <v>427.79</v>
      </c>
    </row>
    <row r="54" spans="9:16" x14ac:dyDescent="0.3">
      <c r="I54">
        <v>9.1999999999999797</v>
      </c>
      <c r="J54">
        <f t="shared" si="0"/>
        <v>443.42394019175327</v>
      </c>
      <c r="K54">
        <f t="shared" si="1"/>
        <v>444.71971151713103</v>
      </c>
      <c r="M54">
        <v>6.5999999999999899</v>
      </c>
      <c r="N54">
        <f t="shared" si="2"/>
        <v>426.84992555648694</v>
      </c>
      <c r="O54">
        <f t="shared" si="3"/>
        <v>428.0786494764925</v>
      </c>
      <c r="P54">
        <f t="shared" si="4"/>
        <v>428.08</v>
      </c>
    </row>
    <row r="55" spans="9:16" x14ac:dyDescent="0.3">
      <c r="I55">
        <v>9.2999999999999794</v>
      </c>
      <c r="J55">
        <f t="shared" si="0"/>
        <v>444.13934385794823</v>
      </c>
      <c r="K55">
        <f t="shared" si="1"/>
        <v>445.44165390452815</v>
      </c>
      <c r="M55">
        <v>6.6499999999999897</v>
      </c>
      <c r="N55">
        <f t="shared" si="2"/>
        <v>427.1378662386407</v>
      </c>
      <c r="O55">
        <f t="shared" si="3"/>
        <v>428.36623643313658</v>
      </c>
      <c r="P55">
        <f t="shared" si="4"/>
        <v>428.37</v>
      </c>
    </row>
    <row r="56" spans="9:16" x14ac:dyDescent="0.3">
      <c r="I56">
        <v>9.3999999999999808</v>
      </c>
      <c r="J56">
        <f t="shared" si="0"/>
        <v>444.86148640289326</v>
      </c>
      <c r="K56">
        <f t="shared" si="1"/>
        <v>446.17067142487844</v>
      </c>
      <c r="M56">
        <v>6.6999999999999904</v>
      </c>
      <c r="N56">
        <f t="shared" si="2"/>
        <v>427.4267851797901</v>
      </c>
      <c r="O56">
        <f t="shared" si="3"/>
        <v>428.65485910203921</v>
      </c>
      <c r="P56">
        <f t="shared" si="4"/>
        <v>428.65</v>
      </c>
    </row>
    <row r="57" spans="9:16" x14ac:dyDescent="0.3">
      <c r="I57">
        <v>9.4999999999999805</v>
      </c>
      <c r="J57">
        <f t="shared" si="0"/>
        <v>445.59046769861857</v>
      </c>
      <c r="K57">
        <f t="shared" si="1"/>
        <v>446.90686896381976</v>
      </c>
      <c r="M57">
        <v>6.7499999999999902</v>
      </c>
      <c r="N57">
        <f t="shared" si="2"/>
        <v>427.71669650899253</v>
      </c>
      <c r="O57">
        <f t="shared" si="3"/>
        <v>428.94453193756465</v>
      </c>
      <c r="P57">
        <f t="shared" si="4"/>
        <v>428.94</v>
      </c>
    </row>
    <row r="58" spans="9:16" x14ac:dyDescent="0.3">
      <c r="I58">
        <v>9.5999999999999801</v>
      </c>
      <c r="J58">
        <f t="shared" si="0"/>
        <v>446.3263871251757</v>
      </c>
      <c r="K58">
        <f t="shared" si="1"/>
        <v>447.65035094128996</v>
      </c>
      <c r="M58">
        <v>6.7999999999999901</v>
      </c>
      <c r="N58">
        <f t="shared" si="2"/>
        <v>428.00761432455658</v>
      </c>
      <c r="O58">
        <f t="shared" si="3"/>
        <v>429.23526937192906</v>
      </c>
      <c r="P58">
        <f t="shared" si="4"/>
        <v>429.24</v>
      </c>
    </row>
    <row r="59" spans="9:16" x14ac:dyDescent="0.3">
      <c r="I59">
        <v>9.6999999999999797</v>
      </c>
      <c r="J59">
        <f t="shared" si="0"/>
        <v>447.06934357063744</v>
      </c>
      <c r="K59">
        <f t="shared" si="1"/>
        <v>448.40122130561178</v>
      </c>
      <c r="M59">
        <v>6.8499999999999899</v>
      </c>
      <c r="N59">
        <f t="shared" si="2"/>
        <v>428.29955269404235</v>
      </c>
      <c r="O59">
        <f t="shared" si="3"/>
        <v>429.52708581510768</v>
      </c>
      <c r="P59">
        <f t="shared" si="4"/>
        <v>429.53</v>
      </c>
    </row>
    <row r="60" spans="9:16" x14ac:dyDescent="0.3">
      <c r="I60">
        <v>9.7999999999999794</v>
      </c>
      <c r="J60">
        <f t="shared" si="0"/>
        <v>447.8194354310981</v>
      </c>
      <c r="K60">
        <f t="shared" si="1"/>
        <v>449.15958352741188</v>
      </c>
      <c r="M60">
        <v>6.8999999999999897</v>
      </c>
      <c r="N60">
        <f t="shared" si="2"/>
        <v>428.59252565426112</v>
      </c>
      <c r="O60">
        <f t="shared" si="3"/>
        <v>429.81999565474217</v>
      </c>
      <c r="P60">
        <f t="shared" si="4"/>
        <v>429.82</v>
      </c>
    </row>
    <row r="61" spans="9:16" x14ac:dyDescent="0.3">
      <c r="I61">
        <v>9.8999999999999808</v>
      </c>
      <c r="J61">
        <f t="shared" si="0"/>
        <v>448.5767606106732</v>
      </c>
      <c r="K61">
        <f t="shared" si="1"/>
        <v>449.92554059338107</v>
      </c>
      <c r="M61">
        <v>6.9499999999999904</v>
      </c>
      <c r="N61">
        <f t="shared" si="2"/>
        <v>428.88654721127568</v>
      </c>
      <c r="O61">
        <f t="shared" si="3"/>
        <v>430.11401325604709</v>
      </c>
      <c r="P61">
        <f t="shared" si="4"/>
        <v>430.11</v>
      </c>
    </row>
    <row r="62" spans="9:16" x14ac:dyDescent="0.3">
      <c r="I62">
        <v>9.9999999999999805</v>
      </c>
      <c r="J62">
        <f t="shared" si="0"/>
        <v>449.34141652149981</v>
      </c>
      <c r="K62">
        <f t="shared" si="1"/>
        <v>450.69919499986753</v>
      </c>
      <c r="M62">
        <v>6.9999999999999902</v>
      </c>
      <c r="N62">
        <f t="shared" si="2"/>
        <v>429.18163134039992</v>
      </c>
      <c r="O62">
        <f t="shared" si="3"/>
        <v>430.40915296171482</v>
      </c>
      <c r="P62">
        <f t="shared" si="4"/>
        <v>430.41</v>
      </c>
    </row>
    <row r="63" spans="9:16" x14ac:dyDescent="0.3">
      <c r="I63">
        <v>10.1</v>
      </c>
      <c r="J63">
        <f t="shared" si="0"/>
        <v>450.11350008373637</v>
      </c>
      <c r="K63">
        <f t="shared" si="1"/>
        <v>451.48064874630211</v>
      </c>
      <c r="M63">
        <v>7.0499999999999901</v>
      </c>
      <c r="N63">
        <f t="shared" si="2"/>
        <v>429.47779198619935</v>
      </c>
      <c r="O63">
        <f t="shared" si="3"/>
        <v>430.70542909182063</v>
      </c>
      <c r="P63">
        <f t="shared" si="4"/>
        <v>430.71</v>
      </c>
    </row>
    <row r="64" spans="9:16" x14ac:dyDescent="0.3">
      <c r="I64">
        <v>10.199999999999999</v>
      </c>
      <c r="J64">
        <f t="shared" si="0"/>
        <v>450.89310772556223</v>
      </c>
      <c r="K64">
        <f t="shared" si="1"/>
        <v>452.27000332845898</v>
      </c>
      <c r="M64">
        <v>7.0999999999999899</v>
      </c>
      <c r="N64">
        <f t="shared" si="2"/>
        <v>429.77504306249051</v>
      </c>
      <c r="O64">
        <f t="shared" si="3"/>
        <v>431.00285594372696</v>
      </c>
      <c r="P64">
        <f t="shared" si="4"/>
        <v>431</v>
      </c>
    </row>
    <row r="65" spans="9:16" x14ac:dyDescent="0.3">
      <c r="I65">
        <v>10.3</v>
      </c>
      <c r="J65">
        <f t="shared" si="0"/>
        <v>451.6803353831786</v>
      </c>
      <c r="K65">
        <f t="shared" si="1"/>
        <v>453.06735973154349</v>
      </c>
      <c r="M65">
        <v>7.1499999999999897</v>
      </c>
      <c r="N65">
        <f t="shared" si="2"/>
        <v>430.07339845234156</v>
      </c>
      <c r="O65">
        <f t="shared" si="3"/>
        <v>431.30144779198588</v>
      </c>
      <c r="P65">
        <f t="shared" si="4"/>
        <v>431.3</v>
      </c>
    </row>
    <row r="66" spans="9:16" x14ac:dyDescent="0.3">
      <c r="I66">
        <v>10.4</v>
      </c>
      <c r="J66">
        <f t="shared" si="0"/>
        <v>452.4752785008078</v>
      </c>
      <c r="K66">
        <f t="shared" si="1"/>
        <v>453.87281842311296</v>
      </c>
      <c r="M66">
        <v>7.1999999999999904</v>
      </c>
      <c r="N66">
        <f t="shared" si="2"/>
        <v>430.37287200807179</v>
      </c>
      <c r="O66">
        <f t="shared" si="3"/>
        <v>431.6012188882417</v>
      </c>
      <c r="P66">
        <f t="shared" si="4"/>
        <v>431.6</v>
      </c>
    </row>
    <row r="67" spans="9:16" x14ac:dyDescent="0.3">
      <c r="I67">
        <v>10.5</v>
      </c>
      <c r="J67">
        <f t="shared" ref="J67:J87" si="5">-0.0002049911*I67^4+0.0243120055*I67^3-0.2349808846*I67^2+5.9095166837*I67+391.4822436445</f>
        <v>453.27803203069374</v>
      </c>
      <c r="K67">
        <f t="shared" ref="K67:K87" si="6">3.9*(0.000000000646*J67^4-0.0000015648*J67^3+0.0013882318*J67^2-0.5311145615*J67+74.3371688691)+J67</f>
        <v>454.68647934582197</v>
      </c>
      <c r="M67">
        <v>7.2499999999999902</v>
      </c>
      <c r="N67">
        <f t="shared" ref="N67:N130" si="7">-0.0002049911*M67^4+0.0243120055*M67^3-0.2349808846*M67^2+5.9095166837*M67+391.4822436445</f>
        <v>430.67347755125189</v>
      </c>
      <c r="O67">
        <f t="shared" ref="O67:O130" si="8">3.9*(0.000000000646*N67^4-0.0000015648*N67^3+0.0013882318*N67^2-0.5311145615*N67+74.3371688691)+N67</f>
        <v>431.90218346113141</v>
      </c>
      <c r="P67">
        <f t="shared" ref="P67:P130" si="9">ROUND(O67,2)</f>
        <v>431.9</v>
      </c>
    </row>
    <row r="68" spans="9:16" x14ac:dyDescent="0.3">
      <c r="I68">
        <v>10.6</v>
      </c>
      <c r="J68">
        <f t="shared" si="5"/>
        <v>454.08869043310142</v>
      </c>
      <c r="K68">
        <f t="shared" si="6"/>
        <v>455.50844190999931</v>
      </c>
      <c r="M68">
        <v>7.2999999999999901</v>
      </c>
      <c r="N68">
        <f t="shared" si="7"/>
        <v>430.97522887270389</v>
      </c>
      <c r="O68">
        <f t="shared" si="8"/>
        <v>432.20435571618412</v>
      </c>
      <c r="P68">
        <f t="shared" si="9"/>
        <v>432.2</v>
      </c>
    </row>
    <row r="69" spans="9:16" x14ac:dyDescent="0.3">
      <c r="I69">
        <v>10.7</v>
      </c>
      <c r="J69">
        <f t="shared" si="5"/>
        <v>454.90734767631739</v>
      </c>
      <c r="K69">
        <f t="shared" si="6"/>
        <v>456.33880498605311</v>
      </c>
      <c r="M69">
        <v>7.3499999999999899</v>
      </c>
      <c r="N69">
        <f t="shared" si="7"/>
        <v>431.27813973250124</v>
      </c>
      <c r="O69">
        <f t="shared" si="8"/>
        <v>432.50774983572171</v>
      </c>
      <c r="P69">
        <f t="shared" si="9"/>
        <v>432.51</v>
      </c>
    </row>
    <row r="70" spans="9:16" x14ac:dyDescent="0.3">
      <c r="I70">
        <v>10.8</v>
      </c>
      <c r="J70">
        <f t="shared" si="5"/>
        <v>455.7340972366494</v>
      </c>
      <c r="K70">
        <f t="shared" si="6"/>
        <v>457.177666896701</v>
      </c>
      <c r="M70">
        <v>7.3999999999999897</v>
      </c>
      <c r="N70">
        <f t="shared" si="7"/>
        <v>431.58222385996856</v>
      </c>
      <c r="O70">
        <f t="shared" si="8"/>
        <v>432.81237997875513</v>
      </c>
      <c r="P70">
        <f t="shared" si="9"/>
        <v>432.81</v>
      </c>
    </row>
    <row r="71" spans="9:16" x14ac:dyDescent="0.3">
      <c r="I71">
        <v>10.9</v>
      </c>
      <c r="J71">
        <f t="shared" si="5"/>
        <v>456.56903209842676</v>
      </c>
      <c r="K71">
        <f t="shared" si="6"/>
        <v>458.02512540903183</v>
      </c>
      <c r="M71">
        <v>7.4499999999999904</v>
      </c>
      <c r="N71">
        <f t="shared" si="7"/>
        <v>431.88749495368194</v>
      </c>
      <c r="O71">
        <f t="shared" si="8"/>
        <v>433.11826028088149</v>
      </c>
      <c r="P71">
        <f t="shared" si="9"/>
        <v>433.12</v>
      </c>
    </row>
    <row r="72" spans="9:16" x14ac:dyDescent="0.3">
      <c r="I72">
        <v>11</v>
      </c>
      <c r="J72">
        <f t="shared" si="5"/>
        <v>457.41224475399997</v>
      </c>
      <c r="K72">
        <f t="shared" si="6"/>
        <v>458.88127772639479</v>
      </c>
      <c r="M72">
        <v>7.4999999999999902</v>
      </c>
      <c r="N72">
        <f t="shared" si="7"/>
        <v>432.19396668146868</v>
      </c>
      <c r="O72">
        <f t="shared" si="8"/>
        <v>433.42540485417942</v>
      </c>
      <c r="P72">
        <f t="shared" si="9"/>
        <v>433.43</v>
      </c>
    </row>
    <row r="73" spans="9:16" x14ac:dyDescent="0.3">
      <c r="I73">
        <v>11.1</v>
      </c>
      <c r="J73">
        <f t="shared" si="5"/>
        <v>458.26382720374096</v>
      </c>
      <c r="K73">
        <f t="shared" si="6"/>
        <v>459.74622048011753</v>
      </c>
      <c r="M73">
        <v>7.5499999999999901</v>
      </c>
      <c r="N73">
        <f t="shared" si="7"/>
        <v>432.50165268040757</v>
      </c>
      <c r="O73">
        <f t="shared" si="8"/>
        <v>433.73382778710351</v>
      </c>
      <c r="P73">
        <f t="shared" si="9"/>
        <v>433.73</v>
      </c>
    </row>
    <row r="74" spans="9:16" x14ac:dyDescent="0.3">
      <c r="I74" s="3">
        <v>11.2</v>
      </c>
      <c r="J74" s="3">
        <f t="shared" si="5"/>
        <v>459.12387095604299</v>
      </c>
      <c r="K74" s="3">
        <f t="shared" si="6"/>
        <v>460.62004972105723</v>
      </c>
      <c r="M74">
        <v>7.5999999999999899</v>
      </c>
      <c r="N74">
        <f t="shared" si="7"/>
        <v>432.81056655682858</v>
      </c>
      <c r="O74">
        <f t="shared" si="8"/>
        <v>434.04354314437654</v>
      </c>
      <c r="P74">
        <f t="shared" si="9"/>
        <v>434.04</v>
      </c>
    </row>
    <row r="75" spans="9:16" x14ac:dyDescent="0.3">
      <c r="I75">
        <v>11.3</v>
      </c>
      <c r="J75">
        <f t="shared" si="5"/>
        <v>459.9924670273208</v>
      </c>
      <c r="K75">
        <f t="shared" si="6"/>
        <v>461.50286091098195</v>
      </c>
      <c r="M75">
        <v>7.6499999999999897</v>
      </c>
      <c r="N75">
        <f t="shared" si="7"/>
        <v>433.12072188631311</v>
      </c>
      <c r="O75">
        <f t="shared" si="8"/>
        <v>434.35456496688192</v>
      </c>
      <c r="P75">
        <f t="shared" si="9"/>
        <v>434.35</v>
      </c>
    </row>
    <row r="76" spans="9:16" x14ac:dyDescent="0.3">
      <c r="I76">
        <v>11.4</v>
      </c>
      <c r="J76">
        <f t="shared" si="5"/>
        <v>460.86970594201023</v>
      </c>
      <c r="K76">
        <f t="shared" si="6"/>
        <v>462.39474891378876</v>
      </c>
      <c r="M76">
        <v>7.6999999999999904</v>
      </c>
      <c r="N76">
        <f t="shared" si="7"/>
        <v>433.43213221369393</v>
      </c>
      <c r="O76">
        <f t="shared" si="8"/>
        <v>434.66690727155355</v>
      </c>
      <c r="P76">
        <f t="shared" si="9"/>
        <v>434.67</v>
      </c>
    </row>
    <row r="77" spans="9:16" x14ac:dyDescent="0.3">
      <c r="I77">
        <v>11.5</v>
      </c>
      <c r="J77">
        <f t="shared" si="5"/>
        <v>461.75567773256876</v>
      </c>
      <c r="K77">
        <f t="shared" si="6"/>
        <v>463.29580798655513</v>
      </c>
      <c r="M77">
        <v>7.7499999999999902</v>
      </c>
      <c r="N77">
        <f t="shared" si="7"/>
        <v>433.744811053055</v>
      </c>
      <c r="O77">
        <f t="shared" si="8"/>
        <v>434.98058405126386</v>
      </c>
      <c r="P77">
        <f t="shared" si="9"/>
        <v>434.98</v>
      </c>
    </row>
    <row r="78" spans="9:16" x14ac:dyDescent="0.3">
      <c r="I78">
        <v>11.6</v>
      </c>
      <c r="J78">
        <f t="shared" si="5"/>
        <v>462.65047193947504</v>
      </c>
      <c r="K78">
        <f t="shared" si="6"/>
        <v>464.20613177043231</v>
      </c>
      <c r="M78">
        <v>7.7999999999999901</v>
      </c>
      <c r="N78">
        <f t="shared" si="7"/>
        <v>434.05877188773178</v>
      </c>
      <c r="O78">
        <f t="shared" si="8"/>
        <v>435.29560927471221</v>
      </c>
      <c r="P78">
        <f t="shared" si="9"/>
        <v>435.3</v>
      </c>
    </row>
    <row r="79" spans="9:16" x14ac:dyDescent="0.3">
      <c r="I79">
        <v>11.7</v>
      </c>
      <c r="J79">
        <f t="shared" si="5"/>
        <v>463.55417761122919</v>
      </c>
      <c r="K79">
        <f t="shared" si="6"/>
        <v>465.12581328137725</v>
      </c>
      <c r="M79">
        <v>7.8499999999999899</v>
      </c>
      <c r="N79">
        <f t="shared" si="7"/>
        <v>434.37402817031091</v>
      </c>
      <c r="O79">
        <f t="shared" si="8"/>
        <v>435.61199688631081</v>
      </c>
      <c r="P79">
        <f t="shared" si="9"/>
        <v>435.61</v>
      </c>
    </row>
    <row r="80" spans="9:16" x14ac:dyDescent="0.3">
      <c r="I80">
        <v>11.8</v>
      </c>
      <c r="J80">
        <f t="shared" si="5"/>
        <v>464.46688330435262</v>
      </c>
      <c r="K80">
        <f t="shared" si="6"/>
        <v>466.05494490073295</v>
      </c>
      <c r="M80">
        <v>7.8999999999999897</v>
      </c>
      <c r="N80">
        <f t="shared" si="7"/>
        <v>434.69059332263049</v>
      </c>
      <c r="O80">
        <f t="shared" si="8"/>
        <v>435.92976080606786</v>
      </c>
      <c r="P80">
        <f t="shared" si="9"/>
        <v>435.93</v>
      </c>
    </row>
    <row r="81" spans="9:16" x14ac:dyDescent="0.3">
      <c r="I81">
        <v>11.9</v>
      </c>
      <c r="J81">
        <f t="shared" si="5"/>
        <v>465.38867708338819</v>
      </c>
      <c r="K81">
        <f t="shared" si="6"/>
        <v>466.99361836565384</v>
      </c>
      <c r="M81">
        <v>7.9499999999999904</v>
      </c>
      <c r="N81">
        <f t="shared" si="7"/>
        <v>435.00848073577993</v>
      </c>
      <c r="O81">
        <f t="shared" si="8"/>
        <v>436.24891492947177</v>
      </c>
      <c r="P81">
        <f t="shared" si="9"/>
        <v>436.25</v>
      </c>
    </row>
    <row r="82" spans="9:16" x14ac:dyDescent="0.3">
      <c r="I82">
        <v>12</v>
      </c>
      <c r="J82">
        <f t="shared" si="5"/>
        <v>466.31964652089999</v>
      </c>
      <c r="K82">
        <f t="shared" si="6"/>
        <v>467.94192475938661</v>
      </c>
      <c r="M82">
        <v>7.9999999999999902</v>
      </c>
      <c r="N82">
        <f t="shared" si="7"/>
        <v>435.3277037700999</v>
      </c>
      <c r="O82">
        <f t="shared" si="8"/>
        <v>436.56947312737168</v>
      </c>
      <c r="P82">
        <f t="shared" si="9"/>
        <v>436.57</v>
      </c>
    </row>
    <row r="83" spans="9:16" x14ac:dyDescent="0.3">
      <c r="I83">
        <v>12.1</v>
      </c>
      <c r="J83">
        <f t="shared" si="5"/>
        <v>467.2598786974736</v>
      </c>
      <c r="K83">
        <f t="shared" si="6"/>
        <v>468.89995450140475</v>
      </c>
      <c r="M83">
        <v>8.0499999999999901</v>
      </c>
      <c r="N83">
        <f t="shared" si="7"/>
        <v>435.64827575518251</v>
      </c>
      <c r="O83">
        <f t="shared" si="8"/>
        <v>436.8914492458573</v>
      </c>
      <c r="P83">
        <f t="shared" si="9"/>
        <v>436.89</v>
      </c>
    </row>
    <row r="84" spans="9:16" x14ac:dyDescent="0.3">
      <c r="I84">
        <v>12.2</v>
      </c>
      <c r="J84">
        <f t="shared" si="5"/>
        <v>468.20946020171584</v>
      </c>
      <c r="K84">
        <f t="shared" si="6"/>
        <v>469.86779733740701</v>
      </c>
      <c r="M84">
        <v>8.0999999999999908</v>
      </c>
      <c r="N84">
        <f t="shared" si="7"/>
        <v>435.97020998987114</v>
      </c>
      <c r="O84">
        <f t="shared" si="8"/>
        <v>437.21485710613649</v>
      </c>
      <c r="P84">
        <f t="shared" si="9"/>
        <v>437.21</v>
      </c>
    </row>
    <row r="85" spans="9:16" x14ac:dyDescent="0.3">
      <c r="I85">
        <v>12.3</v>
      </c>
      <c r="J85">
        <f t="shared" si="5"/>
        <v>469.16847713025498</v>
      </c>
      <c r="K85">
        <f t="shared" si="6"/>
        <v>470.84554232918157</v>
      </c>
      <c r="M85">
        <v>8.1499999999999897</v>
      </c>
      <c r="N85">
        <f t="shared" si="7"/>
        <v>436.29351974226046</v>
      </c>
      <c r="O85">
        <f t="shared" si="8"/>
        <v>437.53971050441157</v>
      </c>
      <c r="P85">
        <f t="shared" si="9"/>
        <v>437.54</v>
      </c>
    </row>
    <row r="86" spans="9:16" x14ac:dyDescent="0.3">
      <c r="I86">
        <v>12.4</v>
      </c>
      <c r="J86">
        <f t="shared" si="5"/>
        <v>470.13701508774062</v>
      </c>
      <c r="K86">
        <f t="shared" si="6"/>
        <v>471.83327784434249</v>
      </c>
      <c r="M86">
        <v>8.1999999999999904</v>
      </c>
      <c r="N86">
        <f t="shared" si="7"/>
        <v>436.61821824969655</v>
      </c>
      <c r="O86">
        <f t="shared" si="8"/>
        <v>437.86602321175479</v>
      </c>
      <c r="P86">
        <f t="shared" si="9"/>
        <v>437.87</v>
      </c>
    </row>
    <row r="87" spans="9:16" x14ac:dyDescent="0.3">
      <c r="I87">
        <v>12.5</v>
      </c>
      <c r="J87">
        <f t="shared" si="5"/>
        <v>471.11515918684375</v>
      </c>
      <c r="K87">
        <f t="shared" si="6"/>
        <v>472.83109154594302</v>
      </c>
      <c r="M87">
        <v>8.2499999999999805</v>
      </c>
      <c r="N87">
        <f t="shared" si="7"/>
        <v>436.9443187187768</v>
      </c>
      <c r="O87">
        <f t="shared" si="8"/>
        <v>438.19380897397969</v>
      </c>
      <c r="P87">
        <f t="shared" si="9"/>
        <v>438.19</v>
      </c>
    </row>
    <row r="88" spans="9:16" x14ac:dyDescent="0.3">
      <c r="M88">
        <v>8.2999999999999794</v>
      </c>
      <c r="N88">
        <f t="shared" si="7"/>
        <v>437.27183432535003</v>
      </c>
      <c r="O88">
        <f t="shared" si="8"/>
        <v>438.5230815115126</v>
      </c>
      <c r="P88">
        <f t="shared" si="9"/>
        <v>438.52</v>
      </c>
    </row>
    <row r="89" spans="9:16" x14ac:dyDescent="0.3">
      <c r="M89">
        <v>8.3499999999999801</v>
      </c>
      <c r="N89">
        <f t="shared" si="7"/>
        <v>437.60077821451625</v>
      </c>
      <c r="O89">
        <f t="shared" si="8"/>
        <v>438.85385451926214</v>
      </c>
      <c r="P89">
        <f t="shared" si="9"/>
        <v>438.85</v>
      </c>
    </row>
    <row r="90" spans="9:16" x14ac:dyDescent="0.3">
      <c r="M90">
        <v>8.3999999999999808</v>
      </c>
      <c r="N90">
        <f t="shared" si="7"/>
        <v>437.93116350062689</v>
      </c>
      <c r="O90">
        <f t="shared" si="8"/>
        <v>439.18614166648604</v>
      </c>
      <c r="P90">
        <f t="shared" si="9"/>
        <v>439.19</v>
      </c>
    </row>
    <row r="91" spans="9:16" x14ac:dyDescent="0.3">
      <c r="M91">
        <v>8.4499999999999797</v>
      </c>
      <c r="N91">
        <f t="shared" si="7"/>
        <v>438.26300326728466</v>
      </c>
      <c r="O91">
        <f t="shared" si="8"/>
        <v>439.51995659665675</v>
      </c>
      <c r="P91">
        <f t="shared" si="9"/>
        <v>439.52</v>
      </c>
    </row>
    <row r="92" spans="9:16" x14ac:dyDescent="0.3">
      <c r="M92">
        <v>8.4999999999999805</v>
      </c>
      <c r="N92">
        <f t="shared" si="7"/>
        <v>438.59631056734361</v>
      </c>
      <c r="O92">
        <f t="shared" si="8"/>
        <v>439.85531292732361</v>
      </c>
      <c r="P92">
        <f t="shared" si="9"/>
        <v>439.86</v>
      </c>
    </row>
    <row r="93" spans="9:16" x14ac:dyDescent="0.3">
      <c r="M93">
        <v>8.5499999999999794</v>
      </c>
      <c r="N93">
        <f t="shared" si="7"/>
        <v>438.93109842290914</v>
      </c>
      <c r="O93">
        <f t="shared" si="8"/>
        <v>440.19222424997685</v>
      </c>
      <c r="P93">
        <f t="shared" si="9"/>
        <v>440.19</v>
      </c>
    </row>
    <row r="94" spans="9:16" x14ac:dyDescent="0.3">
      <c r="M94">
        <v>8.5999999999999801</v>
      </c>
      <c r="N94">
        <f t="shared" si="7"/>
        <v>439.26737982533808</v>
      </c>
      <c r="O94">
        <f t="shared" si="8"/>
        <v>440.53070412990422</v>
      </c>
      <c r="P94">
        <f t="shared" si="9"/>
        <v>440.53</v>
      </c>
    </row>
    <row r="95" spans="9:16" x14ac:dyDescent="0.3">
      <c r="M95">
        <v>8.6499999999999808</v>
      </c>
      <c r="N95">
        <f t="shared" si="7"/>
        <v>439.60516773523847</v>
      </c>
      <c r="O95">
        <f t="shared" si="8"/>
        <v>440.87076610605084</v>
      </c>
      <c r="P95">
        <f t="shared" si="9"/>
        <v>440.87</v>
      </c>
    </row>
    <row r="96" spans="9:16" x14ac:dyDescent="0.3">
      <c r="M96">
        <v>8.6999999999999797</v>
      </c>
      <c r="N96">
        <f t="shared" si="7"/>
        <v>439.94447508246964</v>
      </c>
      <c r="O96">
        <f t="shared" si="8"/>
        <v>441.21242369087224</v>
      </c>
      <c r="P96">
        <f t="shared" si="9"/>
        <v>441.21</v>
      </c>
    </row>
    <row r="97" spans="13:16" x14ac:dyDescent="0.3">
      <c r="M97">
        <v>8.7499999999999805</v>
      </c>
      <c r="N97">
        <f t="shared" si="7"/>
        <v>440.28531476614245</v>
      </c>
      <c r="O97">
        <f t="shared" si="8"/>
        <v>441.55569037018972</v>
      </c>
      <c r="P97">
        <f t="shared" si="9"/>
        <v>441.56</v>
      </c>
    </row>
    <row r="98" spans="13:16" x14ac:dyDescent="0.3">
      <c r="M98">
        <v>8.7999999999999794</v>
      </c>
      <c r="N98">
        <f t="shared" si="7"/>
        <v>440.62769965461888</v>
      </c>
      <c r="O98">
        <f t="shared" si="8"/>
        <v>441.90057960303994</v>
      </c>
      <c r="P98">
        <f t="shared" si="9"/>
        <v>441.9</v>
      </c>
    </row>
    <row r="99" spans="13:16" x14ac:dyDescent="0.3">
      <c r="M99">
        <v>8.8499999999999801</v>
      </c>
      <c r="N99">
        <f t="shared" si="7"/>
        <v>440.97164258551243</v>
      </c>
      <c r="O99">
        <f t="shared" si="8"/>
        <v>442.24710482152511</v>
      </c>
      <c r="P99">
        <f t="shared" si="9"/>
        <v>442.25</v>
      </c>
    </row>
    <row r="100" spans="13:16" x14ac:dyDescent="0.3">
      <c r="M100">
        <v>8.8999999999999808</v>
      </c>
      <c r="N100">
        <f t="shared" si="7"/>
        <v>441.31715636568788</v>
      </c>
      <c r="O100">
        <f t="shared" si="8"/>
        <v>442.59527943065928</v>
      </c>
      <c r="P100">
        <f t="shared" si="9"/>
        <v>442.6</v>
      </c>
    </row>
    <row r="101" spans="13:16" x14ac:dyDescent="0.3">
      <c r="M101">
        <v>8.9499999999999797</v>
      </c>
      <c r="N101">
        <f t="shared" si="7"/>
        <v>441.66425377126114</v>
      </c>
      <c r="O101">
        <f t="shared" si="8"/>
        <v>442.94511680821211</v>
      </c>
      <c r="P101">
        <f t="shared" si="9"/>
        <v>442.95</v>
      </c>
    </row>
    <row r="102" spans="13:16" x14ac:dyDescent="0.3">
      <c r="M102">
        <v>8.9999999999999805</v>
      </c>
      <c r="N102">
        <f t="shared" si="7"/>
        <v>442.01294754759988</v>
      </c>
      <c r="O102">
        <f t="shared" si="8"/>
        <v>443.29663030455339</v>
      </c>
      <c r="P102">
        <f t="shared" si="9"/>
        <v>443.3</v>
      </c>
    </row>
    <row r="103" spans="13:16" x14ac:dyDescent="0.3">
      <c r="M103">
        <v>9.0499999999999794</v>
      </c>
      <c r="N103">
        <f t="shared" si="7"/>
        <v>442.36325040932263</v>
      </c>
      <c r="O103">
        <f t="shared" si="8"/>
        <v>443.64983324249107</v>
      </c>
      <c r="P103">
        <f t="shared" si="9"/>
        <v>443.65</v>
      </c>
    </row>
    <row r="104" spans="13:16" x14ac:dyDescent="0.3">
      <c r="M104">
        <v>9.0999999999999801</v>
      </c>
      <c r="N104">
        <f t="shared" si="7"/>
        <v>442.71517504029964</v>
      </c>
      <c r="O104">
        <f t="shared" si="8"/>
        <v>444.00473891711079</v>
      </c>
      <c r="P104">
        <f t="shared" si="9"/>
        <v>444</v>
      </c>
    </row>
    <row r="105" spans="13:16" x14ac:dyDescent="0.3">
      <c r="M105">
        <v>9.1499999999999808</v>
      </c>
      <c r="N105">
        <f t="shared" si="7"/>
        <v>443.06873409365227</v>
      </c>
      <c r="O105">
        <f t="shared" si="8"/>
        <v>444.36136059560943</v>
      </c>
      <c r="P105">
        <f t="shared" si="9"/>
        <v>444.36</v>
      </c>
    </row>
    <row r="106" spans="13:16" x14ac:dyDescent="0.3">
      <c r="M106">
        <v>9.1999999999999797</v>
      </c>
      <c r="N106">
        <f t="shared" si="7"/>
        <v>443.42394019175327</v>
      </c>
      <c r="O106">
        <f t="shared" si="8"/>
        <v>444.71971151713103</v>
      </c>
      <c r="P106">
        <f t="shared" si="9"/>
        <v>444.72</v>
      </c>
    </row>
    <row r="107" spans="13:16" x14ac:dyDescent="0.3">
      <c r="M107">
        <v>9.2499999999999805</v>
      </c>
      <c r="N107">
        <f t="shared" si="7"/>
        <v>443.78080592622678</v>
      </c>
      <c r="O107">
        <f t="shared" si="8"/>
        <v>445.0798048925954</v>
      </c>
      <c r="P107">
        <f t="shared" si="9"/>
        <v>445.08</v>
      </c>
    </row>
    <row r="108" spans="13:16" x14ac:dyDescent="0.3">
      <c r="M108">
        <v>9.2999999999999794</v>
      </c>
      <c r="N108">
        <f t="shared" si="7"/>
        <v>444.13934385794823</v>
      </c>
      <c r="O108">
        <f t="shared" si="8"/>
        <v>445.44165390452815</v>
      </c>
      <c r="P108">
        <f t="shared" si="9"/>
        <v>445.44</v>
      </c>
    </row>
    <row r="109" spans="13:16" x14ac:dyDescent="0.3">
      <c r="M109">
        <v>9.3499999999999801</v>
      </c>
      <c r="N109">
        <f t="shared" si="7"/>
        <v>444.49956651704434</v>
      </c>
      <c r="O109">
        <f t="shared" si="8"/>
        <v>445.80527170688515</v>
      </c>
      <c r="P109">
        <f t="shared" si="9"/>
        <v>445.81</v>
      </c>
    </row>
    <row r="110" spans="13:16" x14ac:dyDescent="0.3">
      <c r="M110">
        <v>9.3999999999999808</v>
      </c>
      <c r="N110">
        <f t="shared" si="7"/>
        <v>444.86148640289326</v>
      </c>
      <c r="O110">
        <f t="shared" si="8"/>
        <v>446.17067142487844</v>
      </c>
      <c r="P110">
        <f t="shared" si="9"/>
        <v>446.17</v>
      </c>
    </row>
    <row r="111" spans="13:16" x14ac:dyDescent="0.3">
      <c r="M111">
        <v>9.4499999999999797</v>
      </c>
      <c r="N111">
        <f t="shared" si="7"/>
        <v>445.22511598412444</v>
      </c>
      <c r="O111">
        <f t="shared" si="8"/>
        <v>446.53786615479567</v>
      </c>
      <c r="P111">
        <f t="shared" si="9"/>
        <v>446.54</v>
      </c>
    </row>
    <row r="112" spans="13:16" x14ac:dyDescent="0.3">
      <c r="M112">
        <v>9.4999999999999805</v>
      </c>
      <c r="N112">
        <f t="shared" si="7"/>
        <v>445.59046769861857</v>
      </c>
      <c r="O112">
        <f t="shared" si="8"/>
        <v>446.90686896381976</v>
      </c>
      <c r="P112">
        <f t="shared" si="9"/>
        <v>446.91</v>
      </c>
    </row>
    <row r="113" spans="13:16" x14ac:dyDescent="0.3">
      <c r="M113">
        <v>9.5499999999999794</v>
      </c>
      <c r="N113">
        <f t="shared" si="7"/>
        <v>445.95755395350784</v>
      </c>
      <c r="O113">
        <f t="shared" si="8"/>
        <v>447.2776928898445</v>
      </c>
      <c r="P113">
        <f t="shared" si="9"/>
        <v>447.28</v>
      </c>
    </row>
    <row r="114" spans="13:16" x14ac:dyDescent="0.3">
      <c r="M114">
        <v>9.5999999999999801</v>
      </c>
      <c r="N114">
        <f t="shared" si="7"/>
        <v>446.3263871251757</v>
      </c>
      <c r="O114">
        <f t="shared" si="8"/>
        <v>447.65035094128996</v>
      </c>
      <c r="P114">
        <f t="shared" si="9"/>
        <v>447.65</v>
      </c>
    </row>
    <row r="115" spans="13:16" x14ac:dyDescent="0.3">
      <c r="M115">
        <v>9.6499999999999808</v>
      </c>
      <c r="N115">
        <f t="shared" si="7"/>
        <v>446.69697955925682</v>
      </c>
      <c r="O115">
        <f t="shared" si="8"/>
        <v>448.02485609691189</v>
      </c>
      <c r="P115">
        <f t="shared" si="9"/>
        <v>448.02</v>
      </c>
    </row>
    <row r="116" spans="13:16" x14ac:dyDescent="0.3">
      <c r="M116">
        <v>9.6999999999999797</v>
      </c>
      <c r="N116">
        <f t="shared" si="7"/>
        <v>447.06934357063744</v>
      </c>
      <c r="O116">
        <f t="shared" si="8"/>
        <v>448.40122130561178</v>
      </c>
      <c r="P116">
        <f t="shared" si="9"/>
        <v>448.4</v>
      </c>
    </row>
    <row r="117" spans="13:16" x14ac:dyDescent="0.3">
      <c r="M117">
        <v>9.7499999999999805</v>
      </c>
      <c r="N117">
        <f t="shared" si="7"/>
        <v>447.44349144345495</v>
      </c>
      <c r="O117">
        <f t="shared" si="8"/>
        <v>448.77945948624227</v>
      </c>
      <c r="P117">
        <f t="shared" si="9"/>
        <v>448.78</v>
      </c>
    </row>
    <row r="118" spans="13:16" x14ac:dyDescent="0.3">
      <c r="M118">
        <v>9.7999999999999794</v>
      </c>
      <c r="N118">
        <f t="shared" si="7"/>
        <v>447.8194354310981</v>
      </c>
      <c r="O118">
        <f t="shared" si="8"/>
        <v>449.15958352741188</v>
      </c>
      <c r="P118">
        <f t="shared" si="9"/>
        <v>449.16</v>
      </c>
    </row>
    <row r="119" spans="13:16" x14ac:dyDescent="0.3">
      <c r="M119">
        <v>9.8499999999999801</v>
      </c>
      <c r="N119">
        <f t="shared" si="7"/>
        <v>448.19718775620703</v>
      </c>
      <c r="O119">
        <f t="shared" si="8"/>
        <v>449.54160628728499</v>
      </c>
      <c r="P119">
        <f t="shared" si="9"/>
        <v>449.54</v>
      </c>
    </row>
    <row r="120" spans="13:16" x14ac:dyDescent="0.3">
      <c r="M120">
        <v>9.8999999999999808</v>
      </c>
      <c r="N120">
        <f t="shared" si="7"/>
        <v>448.5767606106732</v>
      </c>
      <c r="O120">
        <f t="shared" si="8"/>
        <v>449.92554059338107</v>
      </c>
      <c r="P120">
        <f t="shared" si="9"/>
        <v>449.93</v>
      </c>
    </row>
    <row r="121" spans="13:16" x14ac:dyDescent="0.3">
      <c r="M121">
        <v>9.9499999999999797</v>
      </c>
      <c r="N121">
        <f t="shared" si="7"/>
        <v>448.95816615563945</v>
      </c>
      <c r="O121">
        <f t="shared" si="8"/>
        <v>450.31139924237078</v>
      </c>
      <c r="P121">
        <f t="shared" si="9"/>
        <v>450.31</v>
      </c>
    </row>
    <row r="122" spans="13:16" x14ac:dyDescent="0.3">
      <c r="M122">
        <v>9.9999999999999805</v>
      </c>
      <c r="N122">
        <f t="shared" si="7"/>
        <v>449.34141652149981</v>
      </c>
      <c r="O122">
        <f t="shared" si="8"/>
        <v>450.69919499986753</v>
      </c>
      <c r="P122">
        <f t="shared" si="9"/>
        <v>450.7</v>
      </c>
    </row>
    <row r="123" spans="13:16" x14ac:dyDescent="0.3">
      <c r="M123">
        <v>10.050000000000001</v>
      </c>
      <c r="N123">
        <f t="shared" si="7"/>
        <v>449.72652380789998</v>
      </c>
      <c r="O123">
        <f t="shared" si="8"/>
        <v>451.08894060022067</v>
      </c>
      <c r="P123">
        <f t="shared" si="9"/>
        <v>451.09</v>
      </c>
    </row>
    <row r="124" spans="13:16" x14ac:dyDescent="0.3">
      <c r="M124">
        <v>10.1</v>
      </c>
      <c r="N124">
        <f t="shared" si="7"/>
        <v>450.11350008373637</v>
      </c>
      <c r="O124">
        <f t="shared" si="8"/>
        <v>451.48064874630211</v>
      </c>
      <c r="P124">
        <f t="shared" si="9"/>
        <v>451.48</v>
      </c>
    </row>
    <row r="125" spans="13:16" x14ac:dyDescent="0.3">
      <c r="M125">
        <v>10.15</v>
      </c>
      <c r="N125">
        <f t="shared" si="7"/>
        <v>450.5023573871573</v>
      </c>
      <c r="O125">
        <f t="shared" si="8"/>
        <v>451.87433210929123</v>
      </c>
      <c r="P125">
        <f t="shared" si="9"/>
        <v>451.87</v>
      </c>
    </row>
    <row r="126" spans="13:16" x14ac:dyDescent="0.3">
      <c r="M126">
        <v>10.199999999999999</v>
      </c>
      <c r="N126">
        <f t="shared" si="7"/>
        <v>450.89310772556223</v>
      </c>
      <c r="O126">
        <f t="shared" si="8"/>
        <v>452.27000332845898</v>
      </c>
      <c r="P126">
        <f t="shared" si="9"/>
        <v>452.27</v>
      </c>
    </row>
    <row r="127" spans="13:16" x14ac:dyDescent="0.3">
      <c r="M127">
        <v>10.25</v>
      </c>
      <c r="N127">
        <f t="shared" si="7"/>
        <v>451.28576307560195</v>
      </c>
      <c r="O127">
        <f t="shared" si="8"/>
        <v>452.66767501094654</v>
      </c>
      <c r="P127">
        <f t="shared" si="9"/>
        <v>452.67</v>
      </c>
    </row>
    <row r="128" spans="13:16" x14ac:dyDescent="0.3">
      <c r="M128">
        <v>10.3</v>
      </c>
      <c r="N128">
        <f t="shared" si="7"/>
        <v>451.6803353831786</v>
      </c>
      <c r="O128">
        <f t="shared" si="8"/>
        <v>453.06735973154349</v>
      </c>
      <c r="P128">
        <f t="shared" si="9"/>
        <v>453.07</v>
      </c>
    </row>
    <row r="129" spans="13:16" x14ac:dyDescent="0.3">
      <c r="M129">
        <v>10.35</v>
      </c>
      <c r="N129">
        <f t="shared" si="7"/>
        <v>452.07683656344557</v>
      </c>
      <c r="O129">
        <f t="shared" si="8"/>
        <v>453.46907003246326</v>
      </c>
      <c r="P129">
        <f t="shared" si="9"/>
        <v>453.47</v>
      </c>
    </row>
    <row r="130" spans="13:16" x14ac:dyDescent="0.3">
      <c r="M130">
        <v>10.4</v>
      </c>
      <c r="N130">
        <f t="shared" si="7"/>
        <v>452.4752785008078</v>
      </c>
      <c r="O130">
        <f t="shared" si="8"/>
        <v>453.87281842311296</v>
      </c>
      <c r="P130">
        <f t="shared" si="9"/>
        <v>453.87</v>
      </c>
    </row>
    <row r="131" spans="13:16" x14ac:dyDescent="0.3">
      <c r="M131">
        <v>10.45</v>
      </c>
      <c r="N131">
        <f t="shared" ref="N131:N172" si="10">-0.0002049911*M131^4+0.0243120055*M131^3-0.2349808846*M131^2+5.9095166837*M131+391.4822436445</f>
        <v>452.87567304892139</v>
      </c>
      <c r="O131">
        <f t="shared" ref="O131:O172" si="11">3.9*(0.000000000646*N131^4-0.0000015648*N131^3+0.0013882318*N131^2-0.5311145615*N131+74.3371688691)+N131</f>
        <v>454.27861737986512</v>
      </c>
      <c r="P131">
        <f t="shared" ref="P131:P172" si="12">ROUND(O131,2)</f>
        <v>454.28</v>
      </c>
    </row>
    <row r="132" spans="13:16" x14ac:dyDescent="0.3">
      <c r="M132">
        <v>10.5</v>
      </c>
      <c r="N132">
        <f t="shared" si="10"/>
        <v>453.27803203069374</v>
      </c>
      <c r="O132">
        <f t="shared" si="11"/>
        <v>454.68647934582197</v>
      </c>
      <c r="P132">
        <f t="shared" si="12"/>
        <v>454.69</v>
      </c>
    </row>
    <row r="133" spans="13:16" x14ac:dyDescent="0.3">
      <c r="M133">
        <v>10.55</v>
      </c>
      <c r="N133">
        <f t="shared" si="10"/>
        <v>453.68236723828369</v>
      </c>
      <c r="O133">
        <f t="shared" si="11"/>
        <v>455.09641673058195</v>
      </c>
      <c r="P133">
        <f t="shared" si="12"/>
        <v>455.1</v>
      </c>
    </row>
    <row r="134" spans="13:16" x14ac:dyDescent="0.3">
      <c r="M134">
        <v>10.6</v>
      </c>
      <c r="N134">
        <f t="shared" si="10"/>
        <v>454.08869043310142</v>
      </c>
      <c r="O134">
        <f t="shared" si="11"/>
        <v>455.50844190999931</v>
      </c>
      <c r="P134">
        <f t="shared" si="12"/>
        <v>455.51</v>
      </c>
    </row>
    <row r="135" spans="13:16" x14ac:dyDescent="0.3">
      <c r="M135">
        <v>10.65</v>
      </c>
      <c r="N135">
        <f t="shared" si="10"/>
        <v>454.4970133458084</v>
      </c>
      <c r="O135">
        <f t="shared" si="11"/>
        <v>455.92256722594311</v>
      </c>
      <c r="P135">
        <f t="shared" si="12"/>
        <v>455.92</v>
      </c>
    </row>
    <row r="136" spans="13:16" x14ac:dyDescent="0.3">
      <c r="M136">
        <v>10.7</v>
      </c>
      <c r="N136">
        <f t="shared" si="10"/>
        <v>454.90734767631739</v>
      </c>
      <c r="O136">
        <f t="shared" si="11"/>
        <v>456.33880498605311</v>
      </c>
      <c r="P136">
        <f t="shared" si="12"/>
        <v>456.34</v>
      </c>
    </row>
    <row r="137" spans="13:16" x14ac:dyDescent="0.3">
      <c r="M137">
        <v>10.75</v>
      </c>
      <c r="N137">
        <f t="shared" si="10"/>
        <v>455.31970509379255</v>
      </c>
      <c r="O137">
        <f t="shared" si="11"/>
        <v>456.75716746349281</v>
      </c>
      <c r="P137">
        <f t="shared" si="12"/>
        <v>456.76</v>
      </c>
    </row>
    <row r="138" spans="13:16" x14ac:dyDescent="0.3">
      <c r="M138">
        <v>10.8</v>
      </c>
      <c r="N138">
        <f t="shared" si="10"/>
        <v>455.7340972366494</v>
      </c>
      <c r="O138">
        <f t="shared" si="11"/>
        <v>457.177666896701</v>
      </c>
      <c r="P138">
        <f t="shared" si="12"/>
        <v>457.18</v>
      </c>
    </row>
    <row r="139" spans="13:16" x14ac:dyDescent="0.3">
      <c r="M139">
        <v>10.85</v>
      </c>
      <c r="N139">
        <f t="shared" si="10"/>
        <v>456.15053571255476</v>
      </c>
      <c r="O139">
        <f t="shared" si="11"/>
        <v>457.60031548913798</v>
      </c>
      <c r="P139">
        <f t="shared" si="12"/>
        <v>457.6</v>
      </c>
    </row>
    <row r="140" spans="13:16" x14ac:dyDescent="0.3">
      <c r="M140">
        <v>10.9</v>
      </c>
      <c r="N140">
        <f t="shared" si="10"/>
        <v>456.56903209842676</v>
      </c>
      <c r="O140">
        <f t="shared" si="11"/>
        <v>458.02512540903183</v>
      </c>
      <c r="P140">
        <f t="shared" si="12"/>
        <v>458.03</v>
      </c>
    </row>
    <row r="141" spans="13:16" x14ac:dyDescent="0.3">
      <c r="M141">
        <v>10.95</v>
      </c>
      <c r="N141">
        <f t="shared" si="10"/>
        <v>456.98959794043492</v>
      </c>
      <c r="O141">
        <f t="shared" si="11"/>
        <v>458.45210878912155</v>
      </c>
      <c r="P141">
        <f t="shared" si="12"/>
        <v>458.45</v>
      </c>
    </row>
    <row r="142" spans="13:16" x14ac:dyDescent="0.3">
      <c r="M142">
        <v>11</v>
      </c>
      <c r="N142">
        <f t="shared" si="10"/>
        <v>457.41224475399997</v>
      </c>
      <c r="O142">
        <f t="shared" si="11"/>
        <v>458.88127772639479</v>
      </c>
      <c r="P142">
        <f t="shared" si="12"/>
        <v>458.88</v>
      </c>
    </row>
    <row r="143" spans="13:16" x14ac:dyDescent="0.3">
      <c r="M143">
        <v>11.05</v>
      </c>
      <c r="N143">
        <f t="shared" si="10"/>
        <v>457.83698402379417</v>
      </c>
      <c r="O143">
        <f t="shared" si="11"/>
        <v>459.3126442818276</v>
      </c>
      <c r="P143">
        <f t="shared" si="12"/>
        <v>459.31</v>
      </c>
    </row>
    <row r="144" spans="13:16" x14ac:dyDescent="0.3">
      <c r="M144">
        <v>11.1</v>
      </c>
      <c r="N144">
        <f t="shared" si="10"/>
        <v>458.26382720374096</v>
      </c>
      <c r="O144">
        <f t="shared" si="11"/>
        <v>459.74622048011753</v>
      </c>
      <c r="P144">
        <f t="shared" si="12"/>
        <v>459.75</v>
      </c>
    </row>
    <row r="145" spans="13:16" x14ac:dyDescent="0.3">
      <c r="M145">
        <v>11.15</v>
      </c>
      <c r="N145">
        <f t="shared" si="10"/>
        <v>458.69278571701523</v>
      </c>
      <c r="O145">
        <f t="shared" si="11"/>
        <v>460.18201830941587</v>
      </c>
      <c r="P145">
        <f t="shared" si="12"/>
        <v>460.18</v>
      </c>
    </row>
    <row r="146" spans="13:16" x14ac:dyDescent="0.3">
      <c r="M146">
        <v>11.2</v>
      </c>
      <c r="N146">
        <f t="shared" si="10"/>
        <v>459.12387095604299</v>
      </c>
      <c r="O146">
        <f t="shared" si="11"/>
        <v>460.62004972105723</v>
      </c>
      <c r="P146">
        <f t="shared" si="12"/>
        <v>460.62</v>
      </c>
    </row>
    <row r="147" spans="13:16" x14ac:dyDescent="0.3">
      <c r="M147">
        <v>11.25</v>
      </c>
      <c r="N147">
        <f t="shared" si="10"/>
        <v>459.55709428250196</v>
      </c>
      <c r="O147">
        <f t="shared" si="11"/>
        <v>461.06032662928612</v>
      </c>
      <c r="P147">
        <f t="shared" si="12"/>
        <v>461.06</v>
      </c>
    </row>
    <row r="148" spans="13:16" x14ac:dyDescent="0.3">
      <c r="M148">
        <v>11.3</v>
      </c>
      <c r="N148">
        <f t="shared" si="10"/>
        <v>459.9924670273208</v>
      </c>
      <c r="O148">
        <f t="shared" si="11"/>
        <v>461.50286091098195</v>
      </c>
      <c r="P148">
        <f t="shared" si="12"/>
        <v>461.5</v>
      </c>
    </row>
    <row r="149" spans="13:16" x14ac:dyDescent="0.3">
      <c r="M149">
        <v>11.35</v>
      </c>
      <c r="N149">
        <f t="shared" si="10"/>
        <v>460.43000049067973</v>
      </c>
      <c r="O149">
        <f t="shared" si="11"/>
        <v>461.94766440537956</v>
      </c>
      <c r="P149">
        <f t="shared" si="12"/>
        <v>461.95</v>
      </c>
    </row>
    <row r="150" spans="13:16" x14ac:dyDescent="0.3">
      <c r="M150">
        <v>11.4</v>
      </c>
      <c r="N150">
        <f t="shared" si="10"/>
        <v>460.86970594201023</v>
      </c>
      <c r="O150">
        <f t="shared" si="11"/>
        <v>462.39474891378876</v>
      </c>
      <c r="P150">
        <f t="shared" si="12"/>
        <v>462.39</v>
      </c>
    </row>
    <row r="151" spans="13:16" x14ac:dyDescent="0.3">
      <c r="M151">
        <v>11.45</v>
      </c>
      <c r="N151">
        <f t="shared" si="10"/>
        <v>461.31159461999516</v>
      </c>
      <c r="O151">
        <f t="shared" si="11"/>
        <v>462.84412619931163</v>
      </c>
      <c r="P151">
        <f t="shared" si="12"/>
        <v>462.84</v>
      </c>
    </row>
    <row r="152" spans="13:16" x14ac:dyDescent="0.3">
      <c r="M152">
        <v>11.5</v>
      </c>
      <c r="N152">
        <f t="shared" si="10"/>
        <v>461.75567773256876</v>
      </c>
      <c r="O152">
        <f t="shared" si="11"/>
        <v>463.29580798655513</v>
      </c>
      <c r="P152">
        <f t="shared" si="12"/>
        <v>463.3</v>
      </c>
    </row>
    <row r="153" spans="13:16" x14ac:dyDescent="0.3">
      <c r="M153">
        <v>11.55</v>
      </c>
      <c r="N153">
        <f t="shared" si="10"/>
        <v>462.20196645691641</v>
      </c>
      <c r="O153">
        <f t="shared" si="11"/>
        <v>463.74980596134492</v>
      </c>
      <c r="P153">
        <f t="shared" si="12"/>
        <v>463.75</v>
      </c>
    </row>
    <row r="154" spans="13:16" x14ac:dyDescent="0.3">
      <c r="M154">
        <v>11.6</v>
      </c>
      <c r="N154">
        <f t="shared" si="10"/>
        <v>462.65047193947504</v>
      </c>
      <c r="O154">
        <f t="shared" si="11"/>
        <v>464.20613177043231</v>
      </c>
      <c r="P154">
        <f t="shared" si="12"/>
        <v>464.21</v>
      </c>
    </row>
    <row r="155" spans="13:16" x14ac:dyDescent="0.3">
      <c r="M155">
        <v>11.65</v>
      </c>
      <c r="N155">
        <f t="shared" si="10"/>
        <v>463.1012052959328</v>
      </c>
      <c r="O155">
        <f t="shared" si="11"/>
        <v>464.66479702120216</v>
      </c>
      <c r="P155">
        <f t="shared" si="12"/>
        <v>464.66</v>
      </c>
    </row>
    <row r="156" spans="13:16" x14ac:dyDescent="0.3">
      <c r="M156">
        <v>11.7</v>
      </c>
      <c r="N156">
        <f t="shared" si="10"/>
        <v>463.55417761122919</v>
      </c>
      <c r="O156">
        <f t="shared" si="11"/>
        <v>465.12581328137725</v>
      </c>
      <c r="P156">
        <f t="shared" si="12"/>
        <v>465.13</v>
      </c>
    </row>
    <row r="157" spans="13:16" x14ac:dyDescent="0.3">
      <c r="M157">
        <v>11.75</v>
      </c>
      <c r="N157">
        <f t="shared" si="10"/>
        <v>464.00939993955507</v>
      </c>
      <c r="O157">
        <f t="shared" si="11"/>
        <v>465.58919207872026</v>
      </c>
      <c r="P157">
        <f t="shared" si="12"/>
        <v>465.59</v>
      </c>
    </row>
    <row r="158" spans="13:16" x14ac:dyDescent="0.3">
      <c r="M158">
        <v>11.8</v>
      </c>
      <c r="N158">
        <f t="shared" si="10"/>
        <v>464.46688330435262</v>
      </c>
      <c r="O158">
        <f t="shared" si="11"/>
        <v>466.05494490073295</v>
      </c>
      <c r="P158">
        <f t="shared" si="12"/>
        <v>466.05</v>
      </c>
    </row>
    <row r="159" spans="13:16" x14ac:dyDescent="0.3">
      <c r="M159">
        <v>11.85</v>
      </c>
      <c r="N159">
        <f t="shared" si="10"/>
        <v>464.9266386983154</v>
      </c>
      <c r="O159">
        <f t="shared" si="11"/>
        <v>466.523083194354</v>
      </c>
      <c r="P159">
        <f t="shared" si="12"/>
        <v>466.52</v>
      </c>
    </row>
    <row r="160" spans="13:16" x14ac:dyDescent="0.3">
      <c r="M160">
        <v>11.9</v>
      </c>
      <c r="N160">
        <f t="shared" si="10"/>
        <v>465.38867708338819</v>
      </c>
      <c r="O160">
        <f t="shared" si="11"/>
        <v>466.99361836565384</v>
      </c>
      <c r="P160">
        <f t="shared" si="12"/>
        <v>466.99</v>
      </c>
    </row>
    <row r="161" spans="13:16" x14ac:dyDescent="0.3">
      <c r="M161">
        <v>11.95</v>
      </c>
      <c r="N161">
        <f t="shared" si="10"/>
        <v>465.85300939076717</v>
      </c>
      <c r="O161">
        <f t="shared" si="11"/>
        <v>467.46656177952804</v>
      </c>
      <c r="P161">
        <f t="shared" si="12"/>
        <v>467.47</v>
      </c>
    </row>
    <row r="162" spans="13:16" x14ac:dyDescent="0.3">
      <c r="M162">
        <v>12</v>
      </c>
      <c r="N162">
        <f t="shared" si="10"/>
        <v>466.31964652089999</v>
      </c>
      <c r="O162">
        <f t="shared" si="11"/>
        <v>467.94192475938661</v>
      </c>
      <c r="P162">
        <f t="shared" si="12"/>
        <v>467.94</v>
      </c>
    </row>
    <row r="163" spans="13:16" x14ac:dyDescent="0.3">
      <c r="M163">
        <v>12.05</v>
      </c>
      <c r="N163">
        <f t="shared" si="10"/>
        <v>466.78859934348543</v>
      </c>
      <c r="O163">
        <f t="shared" si="11"/>
        <v>468.41971858684406</v>
      </c>
      <c r="P163">
        <f t="shared" si="12"/>
        <v>468.42</v>
      </c>
    </row>
    <row r="164" spans="13:16" x14ac:dyDescent="0.3">
      <c r="M164">
        <v>12.1</v>
      </c>
      <c r="N164">
        <f t="shared" si="10"/>
        <v>467.2598786974736</v>
      </c>
      <c r="O164">
        <f t="shared" si="11"/>
        <v>468.89995450140475</v>
      </c>
      <c r="P164">
        <f t="shared" si="12"/>
        <v>468.9</v>
      </c>
    </row>
    <row r="165" spans="13:16" x14ac:dyDescent="0.3">
      <c r="M165">
        <v>12.15</v>
      </c>
      <c r="N165">
        <f t="shared" si="10"/>
        <v>467.73349539106607</v>
      </c>
      <c r="O165">
        <f t="shared" si="11"/>
        <v>469.38264370014718</v>
      </c>
      <c r="P165">
        <f t="shared" si="12"/>
        <v>469.38</v>
      </c>
    </row>
    <row r="166" spans="13:16" x14ac:dyDescent="0.3">
      <c r="M166">
        <v>12.2</v>
      </c>
      <c r="N166">
        <f t="shared" si="10"/>
        <v>468.20946020171584</v>
      </c>
      <c r="O166">
        <f t="shared" si="11"/>
        <v>469.86779733740701</v>
      </c>
      <c r="P166">
        <f t="shared" si="12"/>
        <v>469.87</v>
      </c>
    </row>
    <row r="167" spans="13:16" x14ac:dyDescent="0.3">
      <c r="M167">
        <v>12.25</v>
      </c>
      <c r="N167">
        <f t="shared" si="10"/>
        <v>468.6877838761269</v>
      </c>
      <c r="O167">
        <f t="shared" si="11"/>
        <v>470.35542652445611</v>
      </c>
      <c r="P167">
        <f t="shared" si="12"/>
        <v>470.36</v>
      </c>
    </row>
    <row r="168" spans="13:16" x14ac:dyDescent="0.3">
      <c r="M168">
        <v>12.3</v>
      </c>
      <c r="N168">
        <f t="shared" si="10"/>
        <v>469.16847713025498</v>
      </c>
      <c r="O168">
        <f t="shared" si="11"/>
        <v>470.84554232918157</v>
      </c>
      <c r="P168">
        <f t="shared" si="12"/>
        <v>470.85</v>
      </c>
    </row>
    <row r="169" spans="13:16" x14ac:dyDescent="0.3">
      <c r="M169">
        <v>12.35</v>
      </c>
      <c r="N169">
        <f t="shared" si="10"/>
        <v>469.65155064930678</v>
      </c>
      <c r="O169">
        <f t="shared" si="11"/>
        <v>471.33815577576229</v>
      </c>
      <c r="P169">
        <f t="shared" si="12"/>
        <v>471.34</v>
      </c>
    </row>
    <row r="170" spans="13:16" x14ac:dyDescent="0.3">
      <c r="M170">
        <v>12.4</v>
      </c>
      <c r="N170">
        <f t="shared" si="10"/>
        <v>470.13701508774062</v>
      </c>
      <c r="O170">
        <f t="shared" si="11"/>
        <v>471.83327784434249</v>
      </c>
      <c r="P170">
        <f t="shared" si="12"/>
        <v>471.83</v>
      </c>
    </row>
    <row r="171" spans="13:16" x14ac:dyDescent="0.3">
      <c r="M171">
        <v>12.45</v>
      </c>
      <c r="N171">
        <f t="shared" si="10"/>
        <v>470.62488106926594</v>
      </c>
      <c r="O171">
        <f t="shared" si="11"/>
        <v>472.33091947070523</v>
      </c>
      <c r="P171">
        <f t="shared" si="12"/>
        <v>472.33</v>
      </c>
    </row>
    <row r="172" spans="13:16" x14ac:dyDescent="0.3">
      <c r="M172">
        <v>12.5</v>
      </c>
      <c r="N172">
        <f t="shared" si="10"/>
        <v>471.11515918684375</v>
      </c>
      <c r="O172">
        <f t="shared" si="11"/>
        <v>472.83109154594302</v>
      </c>
      <c r="P172">
        <f t="shared" si="12"/>
        <v>472.83</v>
      </c>
    </row>
  </sheetData>
  <phoneticPr fontId="1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2"/>
  <sheetViews>
    <sheetView topLeftCell="H98" workbookViewId="0">
      <selection activeCell="P2" sqref="P2:P112"/>
    </sheetView>
  </sheetViews>
  <sheetFormatPr defaultRowHeight="14.4" x14ac:dyDescent="0.3"/>
  <cols>
    <col min="6" max="6" width="12.21875" customWidth="1"/>
  </cols>
  <sheetData>
    <row r="1" spans="1:16" x14ac:dyDescent="0.3">
      <c r="A1" t="s">
        <v>0</v>
      </c>
      <c r="B1" t="s">
        <v>1</v>
      </c>
      <c r="C1" t="s">
        <v>6</v>
      </c>
      <c r="E1" t="s">
        <v>12</v>
      </c>
      <c r="F1" t="s">
        <v>16</v>
      </c>
      <c r="G1" t="s">
        <v>19</v>
      </c>
      <c r="I1" t="s">
        <v>25</v>
      </c>
      <c r="J1" t="s">
        <v>23</v>
      </c>
      <c r="K1" t="s">
        <v>26</v>
      </c>
      <c r="N1" t="s">
        <v>23</v>
      </c>
      <c r="O1" t="s">
        <v>26</v>
      </c>
      <c r="P1" t="s">
        <v>22</v>
      </c>
    </row>
    <row r="2" spans="1:16" x14ac:dyDescent="0.3">
      <c r="A2">
        <v>23.1</v>
      </c>
      <c r="B2">
        <v>670.96</v>
      </c>
      <c r="C2">
        <v>16.29</v>
      </c>
      <c r="E2">
        <v>666.48</v>
      </c>
      <c r="F2">
        <v>678.54</v>
      </c>
      <c r="G2">
        <v>655.75</v>
      </c>
      <c r="I2">
        <v>19.5</v>
      </c>
      <c r="J2">
        <f>0.01247086*I2^4-0.89502979*I2^3+25.26943862*I2^2-314.07513142*I2+1914.28670925</f>
        <v>565.15409451749838</v>
      </c>
      <c r="K2">
        <f>4*(0.000000000646*J2^4-0.0000015648*J2^3+0.0013882318*J2^2-0.5311145615*J2+74.3371688691)+J2</f>
        <v>569.21904614138327</v>
      </c>
      <c r="M2">
        <v>19.5</v>
      </c>
      <c r="N2">
        <f>0.01247086*M2^4-0.89502979*M2^3+25.26943862*M2^2-314.07513142*M2+1914.28670925</f>
        <v>565.15409451749838</v>
      </c>
      <c r="O2">
        <f>4*(0.000000000646*N2^4-0.0000015648*N2^3+0.0013882318*N2^2-0.5311145615*N2+74.3371688691)+N2</f>
        <v>569.21904614138327</v>
      </c>
      <c r="P2">
        <f>ROUND(O2,2)</f>
        <v>569.22</v>
      </c>
    </row>
    <row r="3" spans="1:16" x14ac:dyDescent="0.3">
      <c r="I3">
        <v>19.600000000000001</v>
      </c>
      <c r="J3">
        <f t="shared" ref="J3:J57" si="0">0.01247086*I3^4-0.89502979*I3^3+25.26943862*I3^2-314.07513142*I3+1914.28670925</f>
        <v>567.19851949057556</v>
      </c>
      <c r="K3">
        <f t="shared" ref="K3:K57" si="1">4*(0.000000000646*J3^4-0.0000015648*J3^3+0.0013882318*J3^2-0.5311145615*J3+74.3371688691)+J3</f>
        <v>571.30443897091618</v>
      </c>
      <c r="M3">
        <v>19.55</v>
      </c>
      <c r="N3">
        <f t="shared" ref="N3:N66" si="2">0.01247086*M3^4-0.89502979*M3^3+25.26943862*M3^2-314.07513142*M3+1914.28670925</f>
        <v>566.17287116446641</v>
      </c>
      <c r="O3">
        <f t="shared" ref="O3:O66" si="3">4*(0.000000000646*N3^4-0.0000015648*N3^3+0.0013882318*N3^2-0.5311145615*N3+74.3371688691)+N3</f>
        <v>570.25835135031286</v>
      </c>
      <c r="P3">
        <f t="shared" ref="P3:P66" si="4">ROUND(O3,2)</f>
        <v>570.26</v>
      </c>
    </row>
    <row r="4" spans="1:16" x14ac:dyDescent="0.3">
      <c r="A4">
        <v>19.5</v>
      </c>
      <c r="B4">
        <v>565.20000000000005</v>
      </c>
      <c r="C4">
        <v>15.43</v>
      </c>
      <c r="I4">
        <v>19.7</v>
      </c>
      <c r="J4">
        <f t="shared" si="0"/>
        <v>569.27067736649587</v>
      </c>
      <c r="K4">
        <f t="shared" si="1"/>
        <v>573.41718345039237</v>
      </c>
      <c r="M4">
        <v>19.600000000000001</v>
      </c>
      <c r="N4">
        <f t="shared" si="2"/>
        <v>567.19851949057556</v>
      </c>
      <c r="O4">
        <f t="shared" si="3"/>
        <v>571.30443897091618</v>
      </c>
      <c r="P4">
        <f t="shared" si="4"/>
        <v>571.29999999999995</v>
      </c>
    </row>
    <row r="5" spans="1:16" x14ac:dyDescent="0.3">
      <c r="A5">
        <v>20</v>
      </c>
      <c r="B5">
        <v>575.55999999999995</v>
      </c>
      <c r="C5">
        <v>15.44</v>
      </c>
      <c r="I5">
        <v>19.8</v>
      </c>
      <c r="J5">
        <f t="shared" si="0"/>
        <v>571.3710792240945</v>
      </c>
      <c r="K5">
        <f t="shared" si="1"/>
        <v>575.55774142289454</v>
      </c>
      <c r="M5">
        <v>19.649999999999999</v>
      </c>
      <c r="N5">
        <f t="shared" si="2"/>
        <v>568.23110057473878</v>
      </c>
      <c r="O5">
        <f t="shared" si="3"/>
        <v>572.35736405783928</v>
      </c>
      <c r="P5">
        <f t="shared" si="4"/>
        <v>572.36</v>
      </c>
    </row>
    <row r="6" spans="1:16" x14ac:dyDescent="0.3">
      <c r="A6">
        <v>20.5</v>
      </c>
      <c r="B6">
        <v>586.95000000000005</v>
      </c>
      <c r="C6">
        <v>15.44</v>
      </c>
      <c r="I6">
        <v>19.899999999999999</v>
      </c>
      <c r="J6">
        <f t="shared" si="0"/>
        <v>573.50026607227574</v>
      </c>
      <c r="K6">
        <f t="shared" si="1"/>
        <v>577.72660323319712</v>
      </c>
      <c r="M6">
        <v>19.7</v>
      </c>
      <c r="N6">
        <f t="shared" si="2"/>
        <v>569.27067736649587</v>
      </c>
      <c r="O6">
        <f t="shared" si="3"/>
        <v>573.41718345039237</v>
      </c>
      <c r="P6">
        <f t="shared" si="4"/>
        <v>573.41999999999996</v>
      </c>
    </row>
    <row r="7" spans="1:16" x14ac:dyDescent="0.3">
      <c r="A7">
        <v>21</v>
      </c>
      <c r="B7">
        <v>599.01</v>
      </c>
      <c r="C7">
        <v>15.45</v>
      </c>
      <c r="I7">
        <v>20</v>
      </c>
      <c r="J7">
        <f t="shared" si="0"/>
        <v>575.65880885000024</v>
      </c>
      <c r="K7">
        <f t="shared" si="1"/>
        <v>579.92428767735976</v>
      </c>
      <c r="M7">
        <v>19.75</v>
      </c>
      <c r="N7">
        <f t="shared" si="2"/>
        <v>570.31731468601447</v>
      </c>
      <c r="O7">
        <f t="shared" si="3"/>
        <v>574.48395577086796</v>
      </c>
      <c r="P7">
        <f t="shared" si="4"/>
        <v>574.48</v>
      </c>
    </row>
    <row r="8" spans="1:16" x14ac:dyDescent="0.3">
      <c r="A8">
        <v>21.5</v>
      </c>
      <c r="B8">
        <v>612.07000000000005</v>
      </c>
      <c r="C8">
        <v>15.45</v>
      </c>
      <c r="I8">
        <v>20.100000000000001</v>
      </c>
      <c r="J8">
        <f t="shared" si="0"/>
        <v>577.84730842629506</v>
      </c>
      <c r="K8">
        <f t="shared" si="1"/>
        <v>582.15134195624398</v>
      </c>
      <c r="M8">
        <v>19.8</v>
      </c>
      <c r="N8">
        <f t="shared" si="2"/>
        <v>571.3710792240945</v>
      </c>
      <c r="O8">
        <f t="shared" si="3"/>
        <v>575.55774142289454</v>
      </c>
      <c r="P8">
        <f t="shared" si="4"/>
        <v>575.55999999999995</v>
      </c>
    </row>
    <row r="9" spans="1:16" x14ac:dyDescent="0.3">
      <c r="A9">
        <v>22</v>
      </c>
      <c r="B9">
        <v>626.12</v>
      </c>
      <c r="C9">
        <v>15.46</v>
      </c>
      <c r="I9">
        <v>20.2</v>
      </c>
      <c r="J9">
        <f t="shared" si="0"/>
        <v>580.06639560025451</v>
      </c>
      <c r="K9">
        <f t="shared" si="1"/>
        <v>584.40834163413422</v>
      </c>
      <c r="M9">
        <v>19.850000000000001</v>
      </c>
      <c r="N9">
        <f t="shared" si="2"/>
        <v>572.43203954216369</v>
      </c>
      <c r="O9">
        <f t="shared" si="3"/>
        <v>576.63860258982811</v>
      </c>
      <c r="P9">
        <f t="shared" si="4"/>
        <v>576.64</v>
      </c>
    </row>
    <row r="10" spans="1:16" x14ac:dyDescent="0.3">
      <c r="A10">
        <v>22.5</v>
      </c>
      <c r="B10">
        <v>641.5</v>
      </c>
      <c r="C10">
        <v>15.46</v>
      </c>
      <c r="I10">
        <v>20.3</v>
      </c>
      <c r="J10">
        <f t="shared" si="0"/>
        <v>582.31673110103475</v>
      </c>
      <c r="K10">
        <f t="shared" si="1"/>
        <v>586.69589060381929</v>
      </c>
      <c r="M10">
        <v>19.899999999999999</v>
      </c>
      <c r="N10">
        <f t="shared" si="2"/>
        <v>573.50026607227574</v>
      </c>
      <c r="O10">
        <f t="shared" si="3"/>
        <v>577.72660323319712</v>
      </c>
      <c r="P10">
        <f t="shared" si="4"/>
        <v>577.73</v>
      </c>
    </row>
    <row r="11" spans="1:16" x14ac:dyDescent="0.3">
      <c r="A11">
        <v>23</v>
      </c>
      <c r="B11">
        <v>658.18</v>
      </c>
      <c r="C11">
        <v>15.47</v>
      </c>
      <c r="I11">
        <v>20.399999999999999</v>
      </c>
      <c r="J11">
        <f t="shared" si="0"/>
        <v>584.59900558785466</v>
      </c>
      <c r="K11">
        <f t="shared" si="1"/>
        <v>589.01462105967778</v>
      </c>
      <c r="M11">
        <v>19.95</v>
      </c>
      <c r="N11">
        <f t="shared" si="2"/>
        <v>574.57583111711574</v>
      </c>
      <c r="O11">
        <f t="shared" si="3"/>
        <v>578.82180909121541</v>
      </c>
      <c r="P11">
        <f t="shared" si="4"/>
        <v>578.82000000000005</v>
      </c>
    </row>
    <row r="12" spans="1:16" x14ac:dyDescent="0.3">
      <c r="A12">
        <v>23.5</v>
      </c>
      <c r="B12">
        <v>676.13</v>
      </c>
      <c r="C12">
        <v>15.47</v>
      </c>
      <c r="I12">
        <v>20.5</v>
      </c>
      <c r="J12">
        <f t="shared" si="0"/>
        <v>586.91393965000043</v>
      </c>
      <c r="K12">
        <f t="shared" si="1"/>
        <v>591.36519348046716</v>
      </c>
      <c r="M12">
        <v>20</v>
      </c>
      <c r="N12">
        <f t="shared" si="2"/>
        <v>575.65880885000024</v>
      </c>
      <c r="O12">
        <f t="shared" si="3"/>
        <v>579.92428767735976</v>
      </c>
      <c r="P12">
        <f t="shared" si="4"/>
        <v>579.91999999999996</v>
      </c>
    </row>
    <row r="13" spans="1:16" x14ac:dyDescent="0.3">
      <c r="A13">
        <v>24</v>
      </c>
      <c r="B13">
        <v>696.34</v>
      </c>
      <c r="C13">
        <v>15.48</v>
      </c>
      <c r="I13">
        <v>20.6</v>
      </c>
      <c r="J13">
        <f t="shared" si="0"/>
        <v>589.2622838068155</v>
      </c>
      <c r="K13">
        <f t="shared" si="1"/>
        <v>593.74829662370428</v>
      </c>
      <c r="M13">
        <v>20.05</v>
      </c>
      <c r="N13">
        <f t="shared" si="2"/>
        <v>576.74927531486992</v>
      </c>
      <c r="O13">
        <f t="shared" si="3"/>
        <v>581.0341082790186</v>
      </c>
      <c r="P13">
        <f t="shared" si="4"/>
        <v>581.03</v>
      </c>
    </row>
    <row r="14" spans="1:16" x14ac:dyDescent="0.3">
      <c r="A14">
        <v>24.5</v>
      </c>
      <c r="B14">
        <v>718.43</v>
      </c>
      <c r="C14">
        <v>15.48</v>
      </c>
      <c r="I14">
        <v>20.7</v>
      </c>
      <c r="J14">
        <f t="shared" si="0"/>
        <v>591.64481850771517</v>
      </c>
      <c r="K14">
        <f t="shared" si="1"/>
        <v>596.16464753380933</v>
      </c>
      <c r="M14">
        <v>20.100000000000001</v>
      </c>
      <c r="N14">
        <f t="shared" si="2"/>
        <v>577.84730842629506</v>
      </c>
      <c r="O14">
        <f t="shared" si="3"/>
        <v>582.15134195624398</v>
      </c>
      <c r="P14">
        <f t="shared" si="4"/>
        <v>582.15</v>
      </c>
    </row>
    <row r="15" spans="1:16" x14ac:dyDescent="0.3">
      <c r="A15">
        <v>25</v>
      </c>
      <c r="B15">
        <v>742.32</v>
      </c>
      <c r="C15">
        <v>15.49</v>
      </c>
      <c r="I15">
        <v>20.8</v>
      </c>
      <c r="J15">
        <f t="shared" si="0"/>
        <v>594.06235413217564</v>
      </c>
      <c r="K15">
        <f t="shared" si="1"/>
        <v>598.61499156633533</v>
      </c>
      <c r="M15">
        <v>20.149999999999999</v>
      </c>
      <c r="N15">
        <f t="shared" si="2"/>
        <v>578.95298796947918</v>
      </c>
      <c r="O15">
        <f t="shared" si="3"/>
        <v>583.27606154060379</v>
      </c>
      <c r="P15">
        <f t="shared" si="4"/>
        <v>583.28</v>
      </c>
    </row>
    <row r="16" spans="1:16" x14ac:dyDescent="0.3">
      <c r="I16">
        <v>20.9</v>
      </c>
      <c r="J16">
        <f t="shared" si="0"/>
        <v>596.51573098973404</v>
      </c>
      <c r="K16">
        <f t="shared" si="1"/>
        <v>601.10010243096519</v>
      </c>
      <c r="M16">
        <v>20.2</v>
      </c>
      <c r="N16">
        <f t="shared" si="2"/>
        <v>580.06639560025451</v>
      </c>
      <c r="O16">
        <f t="shared" si="3"/>
        <v>584.40834163413422</v>
      </c>
      <c r="P16">
        <f t="shared" si="4"/>
        <v>584.41</v>
      </c>
    </row>
    <row r="17" spans="1:16" x14ac:dyDescent="0.3">
      <c r="A17">
        <v>23.1</v>
      </c>
      <c r="B17">
        <v>661.64</v>
      </c>
      <c r="C17">
        <v>15.5</v>
      </c>
      <c r="I17">
        <v>21</v>
      </c>
      <c r="J17">
        <f t="shared" si="0"/>
        <v>599.00581931999841</v>
      </c>
      <c r="K17">
        <f t="shared" si="1"/>
        <v>603.62078225621167</v>
      </c>
      <c r="M17">
        <v>20.25</v>
      </c>
      <c r="N17">
        <f t="shared" si="2"/>
        <v>581.18761484507831</v>
      </c>
      <c r="O17">
        <f t="shared" si="3"/>
        <v>585.54825860842027</v>
      </c>
      <c r="P17">
        <f t="shared" si="4"/>
        <v>585.54999999999995</v>
      </c>
    </row>
    <row r="18" spans="1:16" x14ac:dyDescent="0.3">
      <c r="I18">
        <v>21.1</v>
      </c>
      <c r="J18">
        <f t="shared" si="0"/>
        <v>601.53351929263681</v>
      </c>
      <c r="K18">
        <f t="shared" si="1"/>
        <v>606.1778616790649</v>
      </c>
      <c r="M18">
        <v>20.3</v>
      </c>
      <c r="N18">
        <f t="shared" si="2"/>
        <v>582.31673110103475</v>
      </c>
      <c r="O18">
        <f t="shared" si="3"/>
        <v>586.69589060381929</v>
      </c>
      <c r="P18">
        <f t="shared" si="4"/>
        <v>586.70000000000005</v>
      </c>
    </row>
    <row r="19" spans="1:16" x14ac:dyDescent="0.3">
      <c r="I19">
        <v>21.2</v>
      </c>
      <c r="J19">
        <f t="shared" si="0"/>
        <v>604.09976100737549</v>
      </c>
      <c r="K19">
        <f t="shared" si="1"/>
        <v>608.77219996324027</v>
      </c>
      <c r="M19">
        <v>20.350000000000001</v>
      </c>
      <c r="N19">
        <f t="shared" si="2"/>
        <v>583.45383163584575</v>
      </c>
      <c r="O19">
        <f t="shared" si="3"/>
        <v>587.85131752884274</v>
      </c>
      <c r="P19">
        <f t="shared" si="4"/>
        <v>587.85</v>
      </c>
    </row>
    <row r="20" spans="1:16" x14ac:dyDescent="0.3">
      <c r="I20">
        <v>21.3</v>
      </c>
      <c r="J20">
        <f t="shared" si="0"/>
        <v>606.70550449401617</v>
      </c>
      <c r="K20">
        <f t="shared" si="1"/>
        <v>611.4046851500708</v>
      </c>
      <c r="M20">
        <v>20.399999999999999</v>
      </c>
      <c r="N20">
        <f t="shared" si="2"/>
        <v>584.59900558785466</v>
      </c>
      <c r="O20">
        <f t="shared" si="3"/>
        <v>589.01462105967778</v>
      </c>
      <c r="P20">
        <f t="shared" si="4"/>
        <v>589.01</v>
      </c>
    </row>
    <row r="21" spans="1:16" x14ac:dyDescent="0.3">
      <c r="I21">
        <v>21.4</v>
      </c>
      <c r="J21">
        <f t="shared" si="0"/>
        <v>609.35173971241511</v>
      </c>
      <c r="K21">
        <f t="shared" si="1"/>
        <v>614.07623424643577</v>
      </c>
      <c r="M21">
        <v>20.45</v>
      </c>
      <c r="N21">
        <f t="shared" si="2"/>
        <v>585.75234396603992</v>
      </c>
      <c r="O21">
        <f t="shared" si="3"/>
        <v>590.1858846399191</v>
      </c>
      <c r="P21">
        <f t="shared" si="4"/>
        <v>590.19000000000005</v>
      </c>
    </row>
    <row r="22" spans="1:16" x14ac:dyDescent="0.3">
      <c r="I22">
        <v>21.5</v>
      </c>
      <c r="J22">
        <f t="shared" si="0"/>
        <v>612.03948655249951</v>
      </c>
      <c r="K22">
        <f t="shared" si="1"/>
        <v>616.78779345475607</v>
      </c>
      <c r="M22">
        <v>20.5</v>
      </c>
      <c r="N22">
        <f t="shared" si="2"/>
        <v>586.91393965000043</v>
      </c>
      <c r="O22">
        <f t="shared" si="3"/>
        <v>591.36519348046716</v>
      </c>
      <c r="P22">
        <f t="shared" si="4"/>
        <v>591.37</v>
      </c>
    </row>
    <row r="23" spans="1:16" x14ac:dyDescent="0.3">
      <c r="I23">
        <v>21.6</v>
      </c>
      <c r="J23">
        <f t="shared" si="0"/>
        <v>614.76979483425475</v>
      </c>
      <c r="K23">
        <f t="shared" si="1"/>
        <v>619.5403384504508</v>
      </c>
      <c r="M23">
        <v>20.55</v>
      </c>
      <c r="N23">
        <f t="shared" si="2"/>
        <v>588.0838873899711</v>
      </c>
      <c r="O23">
        <f t="shared" si="3"/>
        <v>592.55263455967633</v>
      </c>
      <c r="P23">
        <f t="shared" si="4"/>
        <v>592.54999999999995</v>
      </c>
    </row>
    <row r="24" spans="1:16" x14ac:dyDescent="0.3">
      <c r="I24">
        <v>21.7</v>
      </c>
      <c r="J24">
        <f t="shared" si="0"/>
        <v>617.54374430773441</v>
      </c>
      <c r="K24">
        <f t="shared" si="1"/>
        <v>622.33487471294882</v>
      </c>
      <c r="M24">
        <v>20.6</v>
      </c>
      <c r="N24">
        <f t="shared" si="2"/>
        <v>589.2622838068155</v>
      </c>
      <c r="O24">
        <f t="shared" si="3"/>
        <v>593.74829662370428</v>
      </c>
      <c r="P24">
        <f t="shared" si="4"/>
        <v>593.75</v>
      </c>
    </row>
    <row r="25" spans="1:16" x14ac:dyDescent="0.3">
      <c r="I25">
        <v>21.8</v>
      </c>
      <c r="J25">
        <f t="shared" si="0"/>
        <v>620.36244465305481</v>
      </c>
      <c r="K25">
        <f t="shared" si="1"/>
        <v>625.17243791690578</v>
      </c>
      <c r="M25">
        <v>20.65</v>
      </c>
      <c r="N25">
        <f t="shared" si="2"/>
        <v>590.44922739202502</v>
      </c>
      <c r="O25">
        <f t="shared" si="3"/>
        <v>594.95227018712535</v>
      </c>
      <c r="P25">
        <f t="shared" si="4"/>
        <v>594.95000000000005</v>
      </c>
    </row>
    <row r="26" spans="1:16" x14ac:dyDescent="0.3">
      <c r="I26">
        <v>21.9</v>
      </c>
      <c r="J26">
        <f t="shared" si="0"/>
        <v>623.2270354803959</v>
      </c>
      <c r="K26">
        <f t="shared" si="1"/>
        <v>628.05409439101288</v>
      </c>
      <c r="M26">
        <v>20.7</v>
      </c>
      <c r="N26">
        <f t="shared" si="2"/>
        <v>591.64481850771517</v>
      </c>
      <c r="O26">
        <f t="shared" si="3"/>
        <v>596.16464753380933</v>
      </c>
      <c r="P26">
        <f t="shared" si="4"/>
        <v>596.16</v>
      </c>
    </row>
    <row r="27" spans="1:16" x14ac:dyDescent="0.3">
      <c r="I27">
        <v>22</v>
      </c>
      <c r="J27">
        <f t="shared" si="0"/>
        <v>626.13868632999856</v>
      </c>
      <c r="K27">
        <f t="shared" si="1"/>
        <v>630.9809416525253</v>
      </c>
      <c r="M27">
        <v>20.75</v>
      </c>
      <c r="N27">
        <f t="shared" si="2"/>
        <v>592.84915938664017</v>
      </c>
      <c r="O27">
        <f t="shared" si="3"/>
        <v>597.38552271810875</v>
      </c>
      <c r="P27">
        <f t="shared" si="4"/>
        <v>597.39</v>
      </c>
    </row>
    <row r="28" spans="1:16" x14ac:dyDescent="0.3">
      <c r="I28">
        <v>22.1</v>
      </c>
      <c r="J28">
        <f t="shared" si="0"/>
        <v>629.09859667217461</v>
      </c>
      <c r="K28">
        <f t="shared" si="1"/>
        <v>633.95410902649689</v>
      </c>
      <c r="M28">
        <v>20.8</v>
      </c>
      <c r="N28">
        <f t="shared" si="2"/>
        <v>594.06235413217564</v>
      </c>
      <c r="O28">
        <f t="shared" si="3"/>
        <v>598.61499156633533</v>
      </c>
      <c r="P28">
        <f t="shared" si="4"/>
        <v>598.61</v>
      </c>
    </row>
    <row r="29" spans="1:16" x14ac:dyDescent="0.3">
      <c r="I29">
        <v>22.2</v>
      </c>
      <c r="J29">
        <f t="shared" si="0"/>
        <v>632.10799590729494</v>
      </c>
      <c r="K29">
        <f t="shared" si="1"/>
        <v>636.97475835956368</v>
      </c>
      <c r="M29">
        <v>20.85</v>
      </c>
      <c r="N29">
        <f t="shared" si="2"/>
        <v>595.28450871832865</v>
      </c>
      <c r="O29">
        <f t="shared" si="3"/>
        <v>599.85315167859267</v>
      </c>
      <c r="P29">
        <f t="shared" si="4"/>
        <v>599.85</v>
      </c>
    </row>
    <row r="30" spans="1:16" x14ac:dyDescent="0.3">
      <c r="I30">
        <v>22.3</v>
      </c>
      <c r="J30">
        <f t="shared" si="0"/>
        <v>635.168143365795</v>
      </c>
      <c r="K30">
        <f t="shared" si="1"/>
        <v>640.04408483918849</v>
      </c>
      <c r="M30">
        <v>20.9</v>
      </c>
      <c r="N30">
        <f t="shared" si="2"/>
        <v>596.51573098973404</v>
      </c>
      <c r="O30">
        <f t="shared" si="3"/>
        <v>601.10010243096519</v>
      </c>
      <c r="P30">
        <f t="shared" si="4"/>
        <v>601.1</v>
      </c>
    </row>
    <row r="31" spans="1:16" x14ac:dyDescent="0.3">
      <c r="I31">
        <v>22.4</v>
      </c>
      <c r="J31">
        <f t="shared" si="0"/>
        <v>638.28032830817483</v>
      </c>
      <c r="K31">
        <f t="shared" si="1"/>
        <v>643.16331793031748</v>
      </c>
      <c r="M31">
        <v>20.95</v>
      </c>
      <c r="N31">
        <f t="shared" si="2"/>
        <v>597.7561306616617</v>
      </c>
      <c r="O31">
        <f t="shared" si="3"/>
        <v>602.35594497810609</v>
      </c>
      <c r="P31">
        <f t="shared" si="4"/>
        <v>602.36</v>
      </c>
    </row>
    <row r="32" spans="1:16" x14ac:dyDescent="0.3">
      <c r="I32">
        <v>22.5</v>
      </c>
      <c r="J32">
        <f t="shared" si="0"/>
        <v>641.44586992499808</v>
      </c>
      <c r="K32">
        <f t="shared" si="1"/>
        <v>646.33372244260374</v>
      </c>
      <c r="M32">
        <v>21</v>
      </c>
      <c r="N32">
        <f t="shared" si="2"/>
        <v>599.00581931999841</v>
      </c>
      <c r="O32">
        <f t="shared" si="3"/>
        <v>603.62078225621167</v>
      </c>
      <c r="P32">
        <f t="shared" si="4"/>
        <v>603.62</v>
      </c>
    </row>
    <row r="33" spans="9:16" x14ac:dyDescent="0.3">
      <c r="I33">
        <v>22.6</v>
      </c>
      <c r="J33">
        <f t="shared" si="0"/>
        <v>644.66611733689479</v>
      </c>
      <c r="K33">
        <f t="shared" si="1"/>
        <v>649.55659974265825</v>
      </c>
      <c r="M33">
        <v>21.05</v>
      </c>
      <c r="N33">
        <f t="shared" si="2"/>
        <v>600.26491042127327</v>
      </c>
      <c r="O33">
        <f t="shared" si="3"/>
        <v>604.89471898649174</v>
      </c>
      <c r="P33">
        <f t="shared" si="4"/>
        <v>604.89</v>
      </c>
    </row>
    <row r="34" spans="9:16" x14ac:dyDescent="0.3">
      <c r="I34">
        <v>22.7</v>
      </c>
      <c r="J34">
        <f t="shared" si="0"/>
        <v>647.942449594555</v>
      </c>
      <c r="K34">
        <f t="shared" si="1"/>
        <v>652.83328912719355</v>
      </c>
      <c r="M34">
        <v>21.1</v>
      </c>
      <c r="N34">
        <f t="shared" si="2"/>
        <v>601.53351929263681</v>
      </c>
      <c r="O34">
        <f t="shared" si="3"/>
        <v>606.1778616790649</v>
      </c>
      <c r="P34">
        <f t="shared" si="4"/>
        <v>606.17999999999995</v>
      </c>
    </row>
    <row r="35" spans="9:16" x14ac:dyDescent="0.3">
      <c r="I35">
        <v>22.8000000000001</v>
      </c>
      <c r="J35">
        <f t="shared" si="0"/>
        <v>651.27627567873606</v>
      </c>
      <c r="K35">
        <f t="shared" si="1"/>
        <v>656.16516937448944</v>
      </c>
      <c r="M35">
        <v>21.15</v>
      </c>
      <c r="N35">
        <f t="shared" si="2"/>
        <v>602.81176313186461</v>
      </c>
      <c r="O35">
        <f t="shared" si="3"/>
        <v>607.47031863738664</v>
      </c>
      <c r="P35">
        <f t="shared" si="4"/>
        <v>607.47</v>
      </c>
    </row>
    <row r="36" spans="9:16" x14ac:dyDescent="0.3">
      <c r="I36">
        <v>22.9</v>
      </c>
      <c r="J36">
        <f t="shared" si="0"/>
        <v>654.6690345002562</v>
      </c>
      <c r="K36">
        <f t="shared" si="1"/>
        <v>659.55366049327574</v>
      </c>
      <c r="M36">
        <v>21.2</v>
      </c>
      <c r="N36">
        <f t="shared" si="2"/>
        <v>604.09976100737549</v>
      </c>
      <c r="O36">
        <f t="shared" si="3"/>
        <v>608.77219996324027</v>
      </c>
      <c r="P36">
        <f t="shared" si="4"/>
        <v>608.77</v>
      </c>
    </row>
    <row r="37" spans="9:16" x14ac:dyDescent="0.3">
      <c r="I37">
        <v>23</v>
      </c>
      <c r="J37">
        <f t="shared" si="0"/>
        <v>658.12219489999916</v>
      </c>
      <c r="K37">
        <f t="shared" si="1"/>
        <v>663.00022568997304</v>
      </c>
      <c r="M37">
        <v>21.25</v>
      </c>
      <c r="N37">
        <f t="shared" si="2"/>
        <v>605.39763385820061</v>
      </c>
      <c r="O37">
        <f t="shared" si="3"/>
        <v>610.08361756224906</v>
      </c>
      <c r="P37">
        <f t="shared" si="4"/>
        <v>610.08000000000004</v>
      </c>
    </row>
    <row r="38" spans="9:16" x14ac:dyDescent="0.3">
      <c r="I38">
        <v>23.100000000000101</v>
      </c>
      <c r="J38">
        <f t="shared" si="0"/>
        <v>661.63725564891956</v>
      </c>
      <c r="K38">
        <f t="shared" si="1"/>
        <v>666.50637357723133</v>
      </c>
      <c r="M38">
        <v>21.3</v>
      </c>
      <c r="N38">
        <f t="shared" si="2"/>
        <v>606.70550449401617</v>
      </c>
      <c r="O38">
        <f t="shared" si="3"/>
        <v>611.4046851500708</v>
      </c>
      <c r="P38">
        <f t="shared" si="4"/>
        <v>611.4</v>
      </c>
    </row>
    <row r="39" spans="9:16" x14ac:dyDescent="0.3">
      <c r="I39">
        <v>23.2</v>
      </c>
      <c r="J39">
        <f t="shared" si="0"/>
        <v>665.21574544801479</v>
      </c>
      <c r="K39">
        <f t="shared" si="1"/>
        <v>670.07366064883411</v>
      </c>
      <c r="M39">
        <v>21.35</v>
      </c>
      <c r="N39">
        <f t="shared" si="2"/>
        <v>608.02349759511162</v>
      </c>
      <c r="O39">
        <f t="shared" si="3"/>
        <v>612.73551825918673</v>
      </c>
      <c r="P39">
        <f t="shared" si="4"/>
        <v>612.74</v>
      </c>
    </row>
    <row r="40" spans="9:16" x14ac:dyDescent="0.3">
      <c r="I40">
        <v>23.3000000000001</v>
      </c>
      <c r="J40">
        <f t="shared" si="0"/>
        <v>668.85922292837859</v>
      </c>
      <c r="K40">
        <f t="shared" si="1"/>
        <v>673.70369404855671</v>
      </c>
      <c r="M40">
        <v>21.4</v>
      </c>
      <c r="N40">
        <f t="shared" si="2"/>
        <v>609.35173971241511</v>
      </c>
      <c r="O40">
        <f t="shared" si="3"/>
        <v>614.07623424643577</v>
      </c>
      <c r="P40">
        <f t="shared" si="4"/>
        <v>614.08000000000004</v>
      </c>
    </row>
    <row r="41" spans="9:16" x14ac:dyDescent="0.3">
      <c r="I41">
        <v>23.400000000000102</v>
      </c>
      <c r="J41">
        <f t="shared" si="0"/>
        <v>672.56927665113926</v>
      </c>
      <c r="K41">
        <f t="shared" si="1"/>
        <v>677.3981346628176</v>
      </c>
      <c r="M41">
        <v>21.45</v>
      </c>
      <c r="N41">
        <f t="shared" si="2"/>
        <v>610.69035926748256</v>
      </c>
      <c r="O41">
        <f t="shared" si="3"/>
        <v>615.4269523012623</v>
      </c>
      <c r="P41">
        <f t="shared" si="4"/>
        <v>615.42999999999995</v>
      </c>
    </row>
    <row r="42" spans="9:16" x14ac:dyDescent="0.3">
      <c r="I42">
        <v>23.500000000000099</v>
      </c>
      <c r="J42">
        <f t="shared" si="0"/>
        <v>676.34752510750423</v>
      </c>
      <c r="K42">
        <f t="shared" si="1"/>
        <v>681.15870057017912</v>
      </c>
      <c r="M42">
        <v>21.5</v>
      </c>
      <c r="N42">
        <f t="shared" si="2"/>
        <v>612.03948655249951</v>
      </c>
      <c r="O42">
        <f t="shared" si="3"/>
        <v>616.78779345475607</v>
      </c>
      <c r="P42">
        <f t="shared" si="4"/>
        <v>616.79</v>
      </c>
    </row>
    <row r="43" spans="9:16" x14ac:dyDescent="0.3">
      <c r="I43">
        <v>23.600000000000101</v>
      </c>
      <c r="J43">
        <f t="shared" si="0"/>
        <v>680.19561671873998</v>
      </c>
      <c r="K43">
        <f t="shared" si="1"/>
        <v>684.98717088338606</v>
      </c>
      <c r="M43">
        <v>21.55</v>
      </c>
      <c r="N43">
        <f t="shared" si="2"/>
        <v>613.39925373027563</v>
      </c>
      <c r="O43">
        <f t="shared" si="3"/>
        <v>618.15888058952225</v>
      </c>
      <c r="P43">
        <f t="shared" si="4"/>
        <v>618.16</v>
      </c>
    </row>
    <row r="44" spans="9:16" x14ac:dyDescent="0.3">
      <c r="I44">
        <v>23.700000000000099</v>
      </c>
      <c r="J44">
        <f t="shared" si="0"/>
        <v>684.11522983618033</v>
      </c>
      <c r="K44">
        <f t="shared" si="1"/>
        <v>688.88539002317577</v>
      </c>
      <c r="M44">
        <v>21.6</v>
      </c>
      <c r="N44">
        <f t="shared" si="2"/>
        <v>614.76979483425475</v>
      </c>
      <c r="O44">
        <f t="shared" si="3"/>
        <v>619.5403384504508</v>
      </c>
      <c r="P44">
        <f t="shared" si="4"/>
        <v>619.54</v>
      </c>
    </row>
    <row r="45" spans="9:16" x14ac:dyDescent="0.3">
      <c r="I45">
        <v>23.8000000000001</v>
      </c>
      <c r="J45">
        <f t="shared" si="0"/>
        <v>688.10807274121998</v>
      </c>
      <c r="K45">
        <f t="shared" si="1"/>
        <v>692.85527246653976</v>
      </c>
      <c r="M45">
        <v>21.65</v>
      </c>
      <c r="N45">
        <f t="shared" si="2"/>
        <v>616.15124576850667</v>
      </c>
      <c r="O45">
        <f t="shared" si="3"/>
        <v>620.93229365641071</v>
      </c>
      <c r="P45">
        <f t="shared" si="4"/>
        <v>620.92999999999995</v>
      </c>
    </row>
    <row r="46" spans="9:16" x14ac:dyDescent="0.3">
      <c r="I46">
        <v>23.900000000000102</v>
      </c>
      <c r="J46">
        <f t="shared" si="0"/>
        <v>692.17588364531821</v>
      </c>
      <c r="K46">
        <f t="shared" si="1"/>
        <v>696.89880801603056</v>
      </c>
      <c r="M46">
        <v>21.7</v>
      </c>
      <c r="N46">
        <f t="shared" si="2"/>
        <v>617.54374430773441</v>
      </c>
      <c r="O46">
        <f t="shared" si="3"/>
        <v>622.33487471294882</v>
      </c>
      <c r="P46">
        <f t="shared" si="4"/>
        <v>622.33000000000004</v>
      </c>
    </row>
    <row r="47" spans="9:16" x14ac:dyDescent="0.3">
      <c r="I47">
        <v>24.000000000000099</v>
      </c>
      <c r="J47">
        <f t="shared" si="0"/>
        <v>696.32043069000611</v>
      </c>
      <c r="K47">
        <f t="shared" si="1"/>
        <v>701.01806764088735</v>
      </c>
      <c r="M47">
        <v>21.75</v>
      </c>
      <c r="N47">
        <f t="shared" si="2"/>
        <v>618.94743009726517</v>
      </c>
      <c r="O47">
        <f t="shared" si="3"/>
        <v>623.7482120260305</v>
      </c>
      <c r="P47">
        <f t="shared" si="4"/>
        <v>623.75</v>
      </c>
    </row>
    <row r="48" spans="9:16" x14ac:dyDescent="0.3">
      <c r="I48">
        <v>24.100000000000101</v>
      </c>
      <c r="J48">
        <f t="shared" si="0"/>
        <v>700.54351194685751</v>
      </c>
      <c r="K48">
        <f>4*(0.000000000646*J48^4-0.0000015648*J48^3+0.0013882318*J48^2-0.5311145615*J48+74.3371688691)+J48</f>
        <v>705.21520994523723</v>
      </c>
      <c r="M48">
        <v>21.8</v>
      </c>
      <c r="N48">
        <f t="shared" si="2"/>
        <v>620.36244465305481</v>
      </c>
      <c r="O48">
        <f>4*(0.000000000646*N48^4-0.0000015648*N48^3+0.0013882318*N48^2-0.5311145615*N48+74.3371688691)+N48</f>
        <v>625.17243791690578</v>
      </c>
      <c r="P48">
        <f t="shared" si="4"/>
        <v>625.16999999999996</v>
      </c>
    </row>
    <row r="49" spans="9:16" x14ac:dyDescent="0.3">
      <c r="I49">
        <v>24.200000000000099</v>
      </c>
      <c r="J49">
        <f t="shared" si="0"/>
        <v>704.8469554175399</v>
      </c>
      <c r="K49">
        <f t="shared" si="1"/>
        <v>709.49248832371029</v>
      </c>
      <c r="M49">
        <v>21.85</v>
      </c>
      <c r="N49">
        <f t="shared" si="2"/>
        <v>621.78893136169245</v>
      </c>
      <c r="O49">
        <f t="shared" si="3"/>
        <v>626.60768663816327</v>
      </c>
      <c r="P49">
        <f t="shared" si="4"/>
        <v>626.61</v>
      </c>
    </row>
    <row r="50" spans="9:16" x14ac:dyDescent="0.3">
      <c r="I50">
        <v>24.3000000000001</v>
      </c>
      <c r="J50">
        <f t="shared" si="0"/>
        <v>709.23261903375897</v>
      </c>
      <c r="K50">
        <f t="shared" si="1"/>
        <v>713.85225886981777</v>
      </c>
      <c r="M50">
        <v>21.9</v>
      </c>
      <c r="N50">
        <f t="shared" si="2"/>
        <v>623.2270354803959</v>
      </c>
      <c r="O50">
        <f t="shared" si="3"/>
        <v>628.05409439101288</v>
      </c>
      <c r="P50">
        <f t="shared" si="4"/>
        <v>628.04999999999995</v>
      </c>
    </row>
    <row r="51" spans="9:16" x14ac:dyDescent="0.3">
      <c r="I51">
        <v>24.400000000000102</v>
      </c>
      <c r="J51">
        <f t="shared" si="0"/>
        <v>713.70239065729857</v>
      </c>
      <c r="K51">
        <f t="shared" si="1"/>
        <v>718.29698910856803</v>
      </c>
      <c r="M51">
        <v>21.95</v>
      </c>
      <c r="N51">
        <f t="shared" si="2"/>
        <v>624.6769041370062</v>
      </c>
      <c r="O51">
        <f t="shared" si="3"/>
        <v>629.51179934390063</v>
      </c>
      <c r="P51">
        <f t="shared" si="4"/>
        <v>629.51</v>
      </c>
    </row>
    <row r="52" spans="9:16" x14ac:dyDescent="0.3">
      <c r="I52">
        <v>24.500000000000099</v>
      </c>
      <c r="J52">
        <f t="shared" si="0"/>
        <v>718.25818808000167</v>
      </c>
      <c r="K52">
        <f t="shared" si="1"/>
        <v>722.82926763067087</v>
      </c>
      <c r="M52">
        <v>22</v>
      </c>
      <c r="N52">
        <f t="shared" si="2"/>
        <v>626.13868632999856</v>
      </c>
      <c r="O52">
        <f t="shared" si="3"/>
        <v>630.9809416525253</v>
      </c>
      <c r="P52">
        <f t="shared" si="4"/>
        <v>630.98</v>
      </c>
    </row>
    <row r="53" spans="9:16" x14ac:dyDescent="0.3">
      <c r="I53">
        <v>24.600000000000101</v>
      </c>
      <c r="J53">
        <f t="shared" si="0"/>
        <v>722.90195902378036</v>
      </c>
      <c r="K53">
        <f t="shared" si="1"/>
        <v>727.45181471262083</v>
      </c>
      <c r="M53">
        <v>22.05</v>
      </c>
      <c r="N53">
        <f t="shared" si="2"/>
        <v>627.61253292847778</v>
      </c>
      <c r="O53">
        <f t="shared" si="3"/>
        <v>632.46166348132112</v>
      </c>
      <c r="P53">
        <f t="shared" si="4"/>
        <v>632.46</v>
      </c>
    </row>
    <row r="54" spans="9:16" x14ac:dyDescent="0.3">
      <c r="I54">
        <v>24.700000000000099</v>
      </c>
      <c r="J54">
        <f t="shared" si="0"/>
        <v>727.63568114060126</v>
      </c>
      <c r="K54">
        <f t="shared" si="1"/>
        <v>732.16749401406003</v>
      </c>
      <c r="M54">
        <v>22.1</v>
      </c>
      <c r="N54">
        <f t="shared" si="2"/>
        <v>629.09859667217461</v>
      </c>
      <c r="O54">
        <f t="shared" si="3"/>
        <v>633.95410902649689</v>
      </c>
      <c r="P54">
        <f t="shared" si="4"/>
        <v>633.95000000000005</v>
      </c>
    </row>
    <row r="55" spans="9:16" x14ac:dyDescent="0.3">
      <c r="I55">
        <v>24.8000000000001</v>
      </c>
      <c r="J55">
        <f t="shared" si="0"/>
        <v>732.4613620125001</v>
      </c>
      <c r="K55">
        <f t="shared" si="1"/>
        <v>736.97932545177753</v>
      </c>
      <c r="M55">
        <v>22.15</v>
      </c>
      <c r="N55">
        <f t="shared" si="2"/>
        <v>630.59703217145125</v>
      </c>
      <c r="O55">
        <f t="shared" si="3"/>
        <v>635.45842454072624</v>
      </c>
      <c r="P55">
        <f t="shared" si="4"/>
        <v>635.46</v>
      </c>
    </row>
    <row r="56" spans="9:16" x14ac:dyDescent="0.3">
      <c r="I56">
        <v>24.900000000000102</v>
      </c>
      <c r="J56">
        <f t="shared" si="0"/>
        <v>737.38103915158081</v>
      </c>
      <c r="K56">
        <f t="shared" si="1"/>
        <v>741.89049935801529</v>
      </c>
      <c r="M56">
        <v>22.2</v>
      </c>
      <c r="N56">
        <f t="shared" si="2"/>
        <v>632.10799590729494</v>
      </c>
      <c r="O56">
        <f t="shared" si="3"/>
        <v>636.97475835956368</v>
      </c>
      <c r="P56">
        <f t="shared" si="4"/>
        <v>636.97</v>
      </c>
    </row>
    <row r="57" spans="9:16" x14ac:dyDescent="0.3">
      <c r="I57">
        <v>25.000000000000099</v>
      </c>
      <c r="J57">
        <f t="shared" si="0"/>
        <v>742.39678000000549</v>
      </c>
      <c r="K57">
        <f t="shared" si="1"/>
        <v>746.90439203993822</v>
      </c>
      <c r="M57">
        <v>22.25</v>
      </c>
      <c r="N57">
        <f t="shared" si="2"/>
        <v>633.63164623132798</v>
      </c>
      <c r="O57">
        <f t="shared" si="3"/>
        <v>638.5032609297117</v>
      </c>
      <c r="P57">
        <f t="shared" si="4"/>
        <v>638.5</v>
      </c>
    </row>
    <row r="58" spans="9:16" x14ac:dyDescent="0.3">
      <c r="M58">
        <v>22.3</v>
      </c>
      <c r="N58">
        <f t="shared" si="2"/>
        <v>635.168143365795</v>
      </c>
      <c r="O58">
        <f t="shared" si="3"/>
        <v>640.04408483918849</v>
      </c>
      <c r="P58">
        <f t="shared" si="4"/>
        <v>640.04</v>
      </c>
    </row>
    <row r="59" spans="9:16" x14ac:dyDescent="0.3">
      <c r="M59">
        <v>22.35</v>
      </c>
      <c r="N59">
        <f t="shared" si="2"/>
        <v>636.71764940357662</v>
      </c>
      <c r="O59">
        <f t="shared" si="3"/>
        <v>641.59738484956495</v>
      </c>
      <c r="P59">
        <f t="shared" si="4"/>
        <v>641.6</v>
      </c>
    </row>
    <row r="60" spans="9:16" x14ac:dyDescent="0.3">
      <c r="M60">
        <v>22.4</v>
      </c>
      <c r="N60">
        <f t="shared" si="2"/>
        <v>638.28032830817483</v>
      </c>
      <c r="O60">
        <f t="shared" si="3"/>
        <v>643.16331793031748</v>
      </c>
      <c r="P60">
        <f t="shared" si="4"/>
        <v>643.16</v>
      </c>
    </row>
    <row r="61" spans="9:16" x14ac:dyDescent="0.3">
      <c r="M61">
        <v>22.45</v>
      </c>
      <c r="N61">
        <f t="shared" si="2"/>
        <v>639.85634591372855</v>
      </c>
      <c r="O61">
        <f t="shared" si="3"/>
        <v>644.74204329547217</v>
      </c>
      <c r="P61">
        <f t="shared" si="4"/>
        <v>644.74</v>
      </c>
    </row>
    <row r="62" spans="9:16" x14ac:dyDescent="0.3">
      <c r="M62">
        <v>22.5</v>
      </c>
      <c r="N62">
        <f t="shared" si="2"/>
        <v>641.44586992499808</v>
      </c>
      <c r="O62">
        <f t="shared" si="3"/>
        <v>646.33372244260374</v>
      </c>
      <c r="P62">
        <f t="shared" si="4"/>
        <v>646.33000000000004</v>
      </c>
    </row>
    <row r="63" spans="9:16" x14ac:dyDescent="0.3">
      <c r="M63">
        <v>22.55</v>
      </c>
      <c r="N63">
        <f t="shared" si="2"/>
        <v>643.04906991738153</v>
      </c>
      <c r="O63">
        <f t="shared" si="3"/>
        <v>647.93851919436918</v>
      </c>
      <c r="P63">
        <f t="shared" si="4"/>
        <v>647.94000000000005</v>
      </c>
    </row>
    <row r="64" spans="9:16" x14ac:dyDescent="0.3">
      <c r="M64">
        <v>22.6</v>
      </c>
      <c r="N64">
        <f t="shared" si="2"/>
        <v>644.66611733689479</v>
      </c>
      <c r="O64">
        <f t="shared" si="3"/>
        <v>649.55659974265825</v>
      </c>
      <c r="P64">
        <f t="shared" si="4"/>
        <v>649.55999999999995</v>
      </c>
    </row>
    <row r="65" spans="13:16" x14ac:dyDescent="0.3">
      <c r="M65">
        <v>22.65</v>
      </c>
      <c r="N65">
        <f t="shared" si="2"/>
        <v>646.29718550019243</v>
      </c>
      <c r="O65">
        <f t="shared" si="3"/>
        <v>651.18813269555324</v>
      </c>
      <c r="P65">
        <f t="shared" si="4"/>
        <v>651.19000000000005</v>
      </c>
    </row>
    <row r="66" spans="13:16" x14ac:dyDescent="0.3">
      <c r="M66">
        <v>22.7</v>
      </c>
      <c r="N66">
        <f t="shared" si="2"/>
        <v>647.942449594555</v>
      </c>
      <c r="O66">
        <f t="shared" si="3"/>
        <v>652.83328912719355</v>
      </c>
      <c r="P66">
        <f t="shared" si="4"/>
        <v>652.83000000000004</v>
      </c>
    </row>
    <row r="67" spans="13:16" x14ac:dyDescent="0.3">
      <c r="M67">
        <v>22.75</v>
      </c>
      <c r="N67">
        <f t="shared" ref="N67:N112" si="5">0.01247086*M67^4-0.89502979*M67^3+25.26943862*M67^2-314.07513142*M67+1914.28670925</f>
        <v>649.60208667788993</v>
      </c>
      <c r="O67">
        <f t="shared" ref="O67:O112" si="6">4*(0.000000000646*N67^4-0.0000015648*N67^3+0.0013882318*N67^2-0.5311145615*N67+74.3371688691)+N67</f>
        <v>654.49224263072222</v>
      </c>
      <c r="P67">
        <f t="shared" ref="P67:P112" si="7">ROUND(O67,2)</f>
        <v>654.49</v>
      </c>
    </row>
    <row r="68" spans="13:16" x14ac:dyDescent="0.3">
      <c r="M68">
        <v>22.8000000000001</v>
      </c>
      <c r="N68">
        <f t="shared" si="5"/>
        <v>651.27627567873606</v>
      </c>
      <c r="O68">
        <f t="shared" si="6"/>
        <v>656.16516937448944</v>
      </c>
      <c r="P68">
        <f t="shared" si="7"/>
        <v>656.17</v>
      </c>
    </row>
    <row r="69" spans="13:16" x14ac:dyDescent="0.3">
      <c r="M69">
        <v>22.850000000000101</v>
      </c>
      <c r="N69">
        <f t="shared" si="5"/>
        <v>652.96519739626092</v>
      </c>
      <c r="O69">
        <f t="shared" si="6"/>
        <v>657.85224816163634</v>
      </c>
      <c r="P69">
        <f t="shared" si="7"/>
        <v>657.85</v>
      </c>
    </row>
    <row r="70" spans="13:16" x14ac:dyDescent="0.3">
      <c r="M70">
        <v>22.9</v>
      </c>
      <c r="N70">
        <f t="shared" si="5"/>
        <v>654.6690345002562</v>
      </c>
      <c r="O70">
        <f t="shared" si="6"/>
        <v>659.55366049327574</v>
      </c>
      <c r="P70">
        <f t="shared" si="7"/>
        <v>659.55</v>
      </c>
    </row>
    <row r="71" spans="13:16" x14ac:dyDescent="0.3">
      <c r="M71">
        <v>22.95</v>
      </c>
      <c r="N71">
        <f t="shared" si="5"/>
        <v>656.38797153114956</v>
      </c>
      <c r="O71">
        <f t="shared" si="6"/>
        <v>661.26959063543961</v>
      </c>
      <c r="P71">
        <f t="shared" si="7"/>
        <v>661.27</v>
      </c>
    </row>
    <row r="72" spans="13:16" x14ac:dyDescent="0.3">
      <c r="M72">
        <v>23</v>
      </c>
      <c r="N72">
        <f t="shared" si="5"/>
        <v>658.12219489999916</v>
      </c>
      <c r="O72">
        <f t="shared" si="6"/>
        <v>663.00022568997304</v>
      </c>
      <c r="P72">
        <f t="shared" si="7"/>
        <v>663</v>
      </c>
    </row>
    <row r="73" spans="13:16" x14ac:dyDescent="0.3">
      <c r="M73">
        <v>23.0500000000001</v>
      </c>
      <c r="N73">
        <f t="shared" si="5"/>
        <v>659.87189288848731</v>
      </c>
      <c r="O73">
        <f t="shared" si="6"/>
        <v>664.74575566957799</v>
      </c>
      <c r="P73">
        <f t="shared" si="7"/>
        <v>664.75</v>
      </c>
    </row>
    <row r="74" spans="13:16" x14ac:dyDescent="0.3">
      <c r="M74">
        <v>23.100000000000101</v>
      </c>
      <c r="N74">
        <f t="shared" si="5"/>
        <v>661.63725564891956</v>
      </c>
      <c r="O74">
        <f t="shared" si="6"/>
        <v>666.50637357723133</v>
      </c>
      <c r="P74">
        <f t="shared" si="7"/>
        <v>666.51</v>
      </c>
    </row>
    <row r="75" spans="13:16" x14ac:dyDescent="0.3">
      <c r="M75">
        <v>23.15</v>
      </c>
      <c r="N75">
        <f t="shared" si="5"/>
        <v>663.41847520423653</v>
      </c>
      <c r="O75">
        <f t="shared" si="6"/>
        <v>668.28227549019527</v>
      </c>
      <c r="P75">
        <f t="shared" si="7"/>
        <v>668.28</v>
      </c>
    </row>
    <row r="76" spans="13:16" x14ac:dyDescent="0.3">
      <c r="M76">
        <v>23.2</v>
      </c>
      <c r="N76">
        <f t="shared" si="5"/>
        <v>665.21574544801479</v>
      </c>
      <c r="O76">
        <f t="shared" si="6"/>
        <v>670.07366064883411</v>
      </c>
      <c r="P76">
        <f t="shared" si="7"/>
        <v>670.07</v>
      </c>
    </row>
    <row r="77" spans="13:16" x14ac:dyDescent="0.3">
      <c r="M77">
        <v>23.25</v>
      </c>
      <c r="N77">
        <f t="shared" si="5"/>
        <v>667.02926214445142</v>
      </c>
      <c r="O77">
        <f t="shared" si="6"/>
        <v>671.88073155046879</v>
      </c>
      <c r="P77">
        <f t="shared" si="7"/>
        <v>671.88</v>
      </c>
    </row>
    <row r="78" spans="13:16" x14ac:dyDescent="0.3">
      <c r="M78">
        <v>23.3000000000001</v>
      </c>
      <c r="N78">
        <f t="shared" si="5"/>
        <v>668.85922292837859</v>
      </c>
      <c r="O78">
        <f t="shared" si="6"/>
        <v>673.70369404855671</v>
      </c>
      <c r="P78">
        <f t="shared" si="7"/>
        <v>673.7</v>
      </c>
    </row>
    <row r="79" spans="13:16" x14ac:dyDescent="0.3">
      <c r="M79">
        <v>23.350000000000101</v>
      </c>
      <c r="N79">
        <f t="shared" si="5"/>
        <v>670.70582730524529</v>
      </c>
      <c r="O79">
        <f t="shared" si="6"/>
        <v>675.54275745741563</v>
      </c>
      <c r="P79">
        <f t="shared" si="7"/>
        <v>675.54</v>
      </c>
    </row>
    <row r="80" spans="13:16" x14ac:dyDescent="0.3">
      <c r="M80">
        <v>23.400000000000102</v>
      </c>
      <c r="N80">
        <f t="shared" si="5"/>
        <v>672.56927665113926</v>
      </c>
      <c r="O80">
        <f t="shared" si="6"/>
        <v>677.3981346628176</v>
      </c>
      <c r="P80">
        <f t="shared" si="7"/>
        <v>677.4</v>
      </c>
    </row>
    <row r="81" spans="13:16" x14ac:dyDescent="0.3">
      <c r="M81">
        <v>23.450000000000099</v>
      </c>
      <c r="N81">
        <f t="shared" si="5"/>
        <v>674.4497742127769</v>
      </c>
      <c r="O81">
        <f t="shared" si="6"/>
        <v>679.27004223867755</v>
      </c>
      <c r="P81">
        <f t="shared" si="7"/>
        <v>679.27</v>
      </c>
    </row>
    <row r="82" spans="13:16" x14ac:dyDescent="0.3">
      <c r="M82">
        <v>23.500000000000099</v>
      </c>
      <c r="N82">
        <f t="shared" si="5"/>
        <v>676.34752510750423</v>
      </c>
      <c r="O82">
        <f t="shared" si="6"/>
        <v>681.15870057017912</v>
      </c>
      <c r="P82">
        <f t="shared" si="7"/>
        <v>681.16</v>
      </c>
    </row>
    <row r="83" spans="13:16" x14ac:dyDescent="0.3">
      <c r="M83">
        <v>23.5500000000001</v>
      </c>
      <c r="N83">
        <f t="shared" si="5"/>
        <v>678.26273632328775</v>
      </c>
      <c r="O83">
        <f t="shared" si="6"/>
        <v>683.0643339836264</v>
      </c>
      <c r="P83">
        <f t="shared" si="7"/>
        <v>683.06</v>
      </c>
    </row>
    <row r="84" spans="13:16" x14ac:dyDescent="0.3">
      <c r="M84">
        <v>23.600000000000101</v>
      </c>
      <c r="N84">
        <f t="shared" si="5"/>
        <v>680.19561671873998</v>
      </c>
      <c r="O84">
        <f t="shared" si="6"/>
        <v>684.98717088338606</v>
      </c>
      <c r="P84">
        <f t="shared" si="7"/>
        <v>684.99</v>
      </c>
    </row>
    <row r="85" spans="13:16" x14ac:dyDescent="0.3">
      <c r="M85">
        <v>23.650000000000102</v>
      </c>
      <c r="N85">
        <f t="shared" si="5"/>
        <v>682.14637702308119</v>
      </c>
      <c r="O85">
        <f t="shared" si="6"/>
        <v>686.92744389617394</v>
      </c>
      <c r="P85">
        <f t="shared" si="7"/>
        <v>686.93</v>
      </c>
    </row>
    <row r="86" spans="13:16" x14ac:dyDescent="0.3">
      <c r="M86">
        <v>23.700000000000099</v>
      </c>
      <c r="N86">
        <f t="shared" si="5"/>
        <v>684.11522983618033</v>
      </c>
      <c r="O86">
        <f t="shared" si="6"/>
        <v>688.88539002317577</v>
      </c>
      <c r="P86">
        <f t="shared" si="7"/>
        <v>688.89</v>
      </c>
    </row>
    <row r="87" spans="13:16" x14ac:dyDescent="0.3">
      <c r="M87">
        <v>23.750000000000099</v>
      </c>
      <c r="N87">
        <f t="shared" si="5"/>
        <v>686.10238962852145</v>
      </c>
      <c r="O87">
        <f t="shared" si="6"/>
        <v>690.86125080022464</v>
      </c>
      <c r="P87">
        <f t="shared" si="7"/>
        <v>690.86</v>
      </c>
    </row>
    <row r="88" spans="13:16" x14ac:dyDescent="0.3">
      <c r="M88">
        <v>23.8000000000001</v>
      </c>
      <c r="N88">
        <f t="shared" si="5"/>
        <v>688.10807274121998</v>
      </c>
      <c r="O88">
        <f t="shared" si="6"/>
        <v>692.85527246653976</v>
      </c>
      <c r="P88">
        <f t="shared" si="7"/>
        <v>692.86</v>
      </c>
    </row>
    <row r="89" spans="13:16" x14ac:dyDescent="0.3">
      <c r="M89">
        <v>23.850000000000101</v>
      </c>
      <c r="N89">
        <f t="shared" si="5"/>
        <v>690.13249738602644</v>
      </c>
      <c r="O89">
        <f t="shared" si="6"/>
        <v>694.86770614238105</v>
      </c>
      <c r="P89">
        <f t="shared" si="7"/>
        <v>694.87</v>
      </c>
    </row>
    <row r="90" spans="13:16" x14ac:dyDescent="0.3">
      <c r="M90">
        <v>23.900000000000102</v>
      </c>
      <c r="N90">
        <f t="shared" si="5"/>
        <v>692.17588364531821</v>
      </c>
      <c r="O90">
        <f t="shared" si="6"/>
        <v>696.89880801603056</v>
      </c>
      <c r="P90">
        <f t="shared" si="7"/>
        <v>696.9</v>
      </c>
    </row>
    <row r="91" spans="13:16" x14ac:dyDescent="0.3">
      <c r="M91">
        <v>23.950000000000099</v>
      </c>
      <c r="N91">
        <f t="shared" si="5"/>
        <v>694.23845347209954</v>
      </c>
      <c r="O91">
        <f t="shared" si="6"/>
        <v>698.94883954056638</v>
      </c>
      <c r="P91">
        <f t="shared" si="7"/>
        <v>698.95</v>
      </c>
    </row>
    <row r="92" spans="13:16" x14ac:dyDescent="0.3">
      <c r="M92">
        <v>24.000000000000099</v>
      </c>
      <c r="N92">
        <f t="shared" si="5"/>
        <v>696.32043069000611</v>
      </c>
      <c r="O92">
        <f t="shared" si="6"/>
        <v>701.01806764088735</v>
      </c>
      <c r="P92">
        <f t="shared" si="7"/>
        <v>701.02</v>
      </c>
    </row>
    <row r="93" spans="13:16" x14ac:dyDescent="0.3">
      <c r="M93">
        <v>24.0500000000001</v>
      </c>
      <c r="N93">
        <f t="shared" si="5"/>
        <v>698.42204099329319</v>
      </c>
      <c r="O93">
        <f t="shared" si="6"/>
        <v>703.10676493144626</v>
      </c>
      <c r="P93">
        <f t="shared" si="7"/>
        <v>703.11</v>
      </c>
    </row>
    <row r="94" spans="13:16" x14ac:dyDescent="0.3">
      <c r="M94">
        <v>24.100000000000101</v>
      </c>
      <c r="N94">
        <f t="shared" si="5"/>
        <v>700.54351194685751</v>
      </c>
      <c r="O94">
        <f t="shared" si="6"/>
        <v>705.21520994523723</v>
      </c>
      <c r="P94">
        <f t="shared" si="7"/>
        <v>705.22</v>
      </c>
    </row>
    <row r="95" spans="13:16" x14ac:dyDescent="0.3">
      <c r="M95">
        <v>24.150000000000102</v>
      </c>
      <c r="N95">
        <f t="shared" si="5"/>
        <v>702.68507298622262</v>
      </c>
      <c r="O95">
        <f t="shared" si="6"/>
        <v>707.34368737449643</v>
      </c>
      <c r="P95">
        <f t="shared" si="7"/>
        <v>707.34</v>
      </c>
    </row>
    <row r="96" spans="13:16" x14ac:dyDescent="0.3">
      <c r="M96">
        <v>24.200000000000099</v>
      </c>
      <c r="N96">
        <f t="shared" si="5"/>
        <v>704.8469554175399</v>
      </c>
      <c r="O96">
        <f t="shared" si="6"/>
        <v>709.49248832371029</v>
      </c>
      <c r="P96">
        <f t="shared" si="7"/>
        <v>709.49</v>
      </c>
    </row>
    <row r="97" spans="13:16" x14ac:dyDescent="0.3">
      <c r="M97">
        <v>24.250000000000099</v>
      </c>
      <c r="N97">
        <f t="shared" si="5"/>
        <v>707.0293924175794</v>
      </c>
      <c r="O97">
        <f t="shared" si="6"/>
        <v>711.66191057547019</v>
      </c>
      <c r="P97">
        <f t="shared" si="7"/>
        <v>711.66</v>
      </c>
    </row>
    <row r="98" spans="13:16" x14ac:dyDescent="0.3">
      <c r="M98">
        <v>24.3000000000001</v>
      </c>
      <c r="N98">
        <f t="shared" si="5"/>
        <v>709.23261903375897</v>
      </c>
      <c r="O98">
        <f t="shared" si="6"/>
        <v>713.85225886981777</v>
      </c>
      <c r="P98">
        <f t="shared" si="7"/>
        <v>713.85</v>
      </c>
    </row>
    <row r="99" spans="13:16" x14ac:dyDescent="0.3">
      <c r="M99">
        <v>24.350000000000101</v>
      </c>
      <c r="N99">
        <f t="shared" si="5"/>
        <v>711.45687218410967</v>
      </c>
      <c r="O99">
        <f t="shared" si="6"/>
        <v>716.0638451975957</v>
      </c>
      <c r="P99">
        <f t="shared" si="7"/>
        <v>716.06</v>
      </c>
    </row>
    <row r="100" spans="13:16" x14ac:dyDescent="0.3">
      <c r="M100">
        <v>24.400000000000102</v>
      </c>
      <c r="N100">
        <f t="shared" si="5"/>
        <v>713.70239065729857</v>
      </c>
      <c r="O100">
        <f t="shared" si="6"/>
        <v>718.29698910856803</v>
      </c>
      <c r="P100">
        <f t="shared" si="7"/>
        <v>718.3</v>
      </c>
    </row>
    <row r="101" spans="13:16" x14ac:dyDescent="0.3">
      <c r="M101">
        <v>24.450000000000099</v>
      </c>
      <c r="N101">
        <f t="shared" si="5"/>
        <v>715.9694151126223</v>
      </c>
      <c r="O101">
        <f t="shared" si="6"/>
        <v>720.55201803489092</v>
      </c>
      <c r="P101">
        <f t="shared" si="7"/>
        <v>720.55</v>
      </c>
    </row>
    <row r="102" spans="13:16" x14ac:dyDescent="0.3">
      <c r="M102">
        <v>24.500000000000099</v>
      </c>
      <c r="N102">
        <f t="shared" si="5"/>
        <v>718.25818808000167</v>
      </c>
      <c r="O102">
        <f t="shared" si="6"/>
        <v>722.82926763067087</v>
      </c>
      <c r="P102">
        <f t="shared" si="7"/>
        <v>722.83</v>
      </c>
    </row>
    <row r="103" spans="13:16" x14ac:dyDescent="0.3">
      <c r="M103">
        <v>24.5500000000001</v>
      </c>
      <c r="N103">
        <f t="shared" si="5"/>
        <v>720.56895395999436</v>
      </c>
      <c r="O103">
        <f t="shared" si="6"/>
        <v>725.12908212834861</v>
      </c>
      <c r="P103">
        <f t="shared" si="7"/>
        <v>725.13</v>
      </c>
    </row>
    <row r="104" spans="13:16" x14ac:dyDescent="0.3">
      <c r="M104">
        <v>24.600000000000101</v>
      </c>
      <c r="N104">
        <f t="shared" si="5"/>
        <v>722.90195902378036</v>
      </c>
      <c r="O104">
        <f t="shared" si="6"/>
        <v>727.45181471262083</v>
      </c>
      <c r="P104">
        <f t="shared" si="7"/>
        <v>727.45</v>
      </c>
    </row>
    <row r="105" spans="13:16" x14ac:dyDescent="0.3">
      <c r="M105">
        <v>24.650000000000102</v>
      </c>
      <c r="N105">
        <f t="shared" si="5"/>
        <v>725.25745141316656</v>
      </c>
      <c r="O105">
        <f t="shared" si="6"/>
        <v>729.7978279127509</v>
      </c>
      <c r="P105">
        <f t="shared" si="7"/>
        <v>729.8</v>
      </c>
    </row>
    <row r="106" spans="13:16" x14ac:dyDescent="0.3">
      <c r="M106">
        <v>24.700000000000099</v>
      </c>
      <c r="N106">
        <f t="shared" si="5"/>
        <v>727.63568114060126</v>
      </c>
      <c r="O106">
        <f t="shared" si="6"/>
        <v>732.16749401406003</v>
      </c>
      <c r="P106">
        <f t="shared" si="7"/>
        <v>732.17</v>
      </c>
    </row>
    <row r="107" spans="13:16" x14ac:dyDescent="0.3">
      <c r="M107">
        <v>24.750000000000099</v>
      </c>
      <c r="N107">
        <f t="shared" si="5"/>
        <v>730.03690008914418</v>
      </c>
      <c r="O107">
        <f t="shared" si="6"/>
        <v>734.5611954894274</v>
      </c>
      <c r="P107">
        <f t="shared" si="7"/>
        <v>734.56</v>
      </c>
    </row>
    <row r="108" spans="13:16" x14ac:dyDescent="0.3">
      <c r="M108">
        <v>24.8000000000001</v>
      </c>
      <c r="N108">
        <f t="shared" si="5"/>
        <v>732.4613620125001</v>
      </c>
      <c r="O108">
        <f t="shared" si="6"/>
        <v>736.97932545177753</v>
      </c>
      <c r="P108">
        <f t="shared" si="7"/>
        <v>736.98</v>
      </c>
    </row>
    <row r="109" spans="13:16" x14ac:dyDescent="0.3">
      <c r="M109">
        <v>24.850000000000101</v>
      </c>
      <c r="N109">
        <f t="shared" si="5"/>
        <v>734.9093225349925</v>
      </c>
      <c r="O109">
        <f t="shared" si="6"/>
        <v>739.42228812837845</v>
      </c>
      <c r="P109">
        <f t="shared" si="7"/>
        <v>739.42</v>
      </c>
    </row>
    <row r="110" spans="13:16" x14ac:dyDescent="0.3">
      <c r="M110">
        <v>24.900000000000102</v>
      </c>
      <c r="N110">
        <f t="shared" si="5"/>
        <v>737.38103915158081</v>
      </c>
      <c r="O110">
        <f t="shared" si="6"/>
        <v>741.89049935801529</v>
      </c>
      <c r="P110">
        <f t="shared" si="7"/>
        <v>741.89</v>
      </c>
    </row>
    <row r="111" spans="13:16" x14ac:dyDescent="0.3">
      <c r="M111">
        <v>24.950000000000099</v>
      </c>
      <c r="N111">
        <f t="shared" si="5"/>
        <v>739.87677122784498</v>
      </c>
      <c r="O111">
        <f t="shared" si="6"/>
        <v>744.38438711197125</v>
      </c>
      <c r="P111">
        <f t="shared" si="7"/>
        <v>744.38</v>
      </c>
    </row>
    <row r="112" spans="13:16" x14ac:dyDescent="0.3">
      <c r="M112">
        <v>25.000000000000099</v>
      </c>
      <c r="N112">
        <f t="shared" si="5"/>
        <v>742.39678000000549</v>
      </c>
      <c r="O112">
        <f t="shared" si="6"/>
        <v>746.90439203993822</v>
      </c>
      <c r="P112">
        <f t="shared" si="7"/>
        <v>746.9</v>
      </c>
    </row>
  </sheetData>
  <phoneticPr fontId="1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Lookup all</vt:lpstr>
      <vt:lpstr>Test arm 1</vt:lpstr>
      <vt:lpstr>Test Arm 1.1</vt:lpstr>
      <vt:lpstr>Lookup Arm 1</vt:lpstr>
      <vt:lpstr>Test arm 2</vt:lpstr>
      <vt:lpstr>Test arm 2.2</vt:lpstr>
      <vt:lpstr>Lookup Arm2</vt:lpstr>
      <vt:lpstr>Green arm</vt:lpstr>
      <vt:lpstr>Blue arm</vt:lpstr>
      <vt:lpstr>Red arm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English</dc:creator>
  <cp:lastModifiedBy>Table Marking</cp:lastModifiedBy>
  <dcterms:created xsi:type="dcterms:W3CDTF">2022-01-19T15:29:35Z</dcterms:created>
  <dcterms:modified xsi:type="dcterms:W3CDTF">2023-08-30T13:02:16Z</dcterms:modified>
</cp:coreProperties>
</file>